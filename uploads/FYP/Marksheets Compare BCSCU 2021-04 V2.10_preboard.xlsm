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0.xml" ContentType="application/vnd.openxmlformats-officedocument.spreadsheetml.comment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3.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12.xml" ContentType="application/vnd.openxmlformats-officedocument.spreadsheetml.comments+xml"/>
  <Override PartName="/xl/drawings/drawing1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3.xml" ContentType="application/vnd.openxmlformats-officedocument.spreadsheetml.comments+xml"/>
  <Override PartName="/xl/drawings/drawing15.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4.xml" ContentType="application/vnd.openxmlformats-officedocument.spreadsheetml.comments+xml"/>
  <Override PartName="/xl/drawings/drawing1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5.xml" ContentType="application/vnd.openxmlformats-officedocument.spreadsheetml.comments+xml"/>
  <Override PartName="/xl/drawings/drawing17.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6.xml" ContentType="application/vnd.openxmlformats-officedocument.spreadsheetml.comments+xml"/>
  <Override PartName="/xl/drawings/drawing18.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1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usha.jayahkudy\Desktop\Master Listing\BCSCU\April 2021\"/>
    </mc:Choice>
  </mc:AlternateContent>
  <bookViews>
    <workbookView xWindow="3290" yWindow="1790" windowWidth="20220" windowHeight="13950" tabRatio="809" firstSheet="11" activeTab="17"/>
  </bookViews>
  <sheets>
    <sheet name="Total" sheetId="108" r:id="rId1"/>
    <sheet name="Empty" sheetId="67" r:id="rId2"/>
    <sheet name="120CT - BCSCU" sheetId="122" r:id="rId3"/>
    <sheet name="121COM - BCSCU" sheetId="123" r:id="rId4"/>
    <sheet name="122COM - BCSCU" sheetId="124" r:id="rId5"/>
    <sheet name="124MS - BCSCU" sheetId="125" r:id="rId6"/>
    <sheet name="210CT - BCSCU" sheetId="126" r:id="rId7"/>
    <sheet name="220CT - BCSCU" sheetId="127" r:id="rId8"/>
    <sheet name="260CT - BCSCU" sheetId="128" r:id="rId9"/>
    <sheet name="290COM - BCSCU" sheetId="129" r:id="rId10"/>
    <sheet name="A301SAM - BCSCU" sheetId="130" r:id="rId11"/>
    <sheet name="302CEM - BCSCU" sheetId="131" r:id="rId12"/>
    <sheet name="303COM - BCSCU" sheetId="132" r:id="rId13"/>
    <sheet name="A305IAE - BCSCU" sheetId="133" r:id="rId14"/>
    <sheet name="310CT - BCSCU" sheetId="134" r:id="rId15"/>
    <sheet name="370CT - BCSCU" sheetId="135" r:id="rId16"/>
    <sheet name="380CT - BCSCU" sheetId="136" r:id="rId17"/>
    <sheet name="389COM - BCSCU" sheetId="137" r:id="rId18"/>
  </sheets>
  <functionGroups builtInGroupCount="18"/>
  <externalReferences>
    <externalReference r:id="rId19"/>
  </externalReferences>
  <definedNames>
    <definedName name="_xlnm._FilterDatabase" localSheetId="2" hidden="1">'120CT - BCSCU'!$F$9:$J$88</definedName>
    <definedName name="_xlnm._FilterDatabase" localSheetId="3" hidden="1">'121COM - BCSCU'!$F$9:$J$88</definedName>
    <definedName name="_xlnm._FilterDatabase" localSheetId="4" hidden="1">'122COM - BCSCU'!$F$9:$J$88</definedName>
    <definedName name="_xlnm._FilterDatabase" localSheetId="5" hidden="1">'124MS - BCSCU'!$F$9:$J$88</definedName>
    <definedName name="_xlnm._FilterDatabase" localSheetId="6" hidden="1">'210CT - BCSCU'!$F$9:$J$88</definedName>
    <definedName name="_xlnm._FilterDatabase" localSheetId="7" hidden="1">'220CT - BCSCU'!$F$9:$J$88</definedName>
    <definedName name="_xlnm._FilterDatabase" localSheetId="8" hidden="1">'260CT - BCSCU'!$F$9:$J$88</definedName>
    <definedName name="_xlnm._FilterDatabase" localSheetId="9" hidden="1">'290COM - BCSCU'!$F$9:$J$86</definedName>
    <definedName name="_xlnm._FilterDatabase" localSheetId="11" hidden="1">'302CEM - BCSCU'!$F$9:$J$88</definedName>
    <definedName name="_xlnm._FilterDatabase" localSheetId="12" hidden="1">'303COM - BCSCU'!$F$9:$J$88</definedName>
    <definedName name="_xlnm._FilterDatabase" localSheetId="14" hidden="1">'310CT - BCSCU'!$F$9:$J$88</definedName>
    <definedName name="_xlnm._FilterDatabase" localSheetId="15" hidden="1">'370CT - BCSCU'!$F$9:$J$88</definedName>
    <definedName name="_xlnm._FilterDatabase" localSheetId="16" hidden="1">'380CT - BCSCU'!$F$9:$J$88</definedName>
    <definedName name="_xlnm._FilterDatabase" localSheetId="17" hidden="1">'389COM - BCSCU'!$F$9:$J$88</definedName>
    <definedName name="_xlnm._FilterDatabase" localSheetId="10" hidden="1">'A301SAM - BCSCU'!$F$9:$J$88</definedName>
    <definedName name="_xlnm._FilterDatabase" localSheetId="13" hidden="1">'A305IAE - BCSCU'!$F$9:$J$88</definedName>
    <definedName name="_xlnm._FilterDatabase" localSheetId="1" hidden="1">Empty!$F$9:$J$89</definedName>
    <definedName name="gradetable" localSheetId="2">#REF!</definedName>
    <definedName name="gradetable" localSheetId="3">#REF!</definedName>
    <definedName name="gradetable" localSheetId="4">#REF!</definedName>
    <definedName name="gradetable" localSheetId="5">#REF!</definedName>
    <definedName name="gradetable" localSheetId="6">#REF!</definedName>
    <definedName name="gradetable" localSheetId="7">#REF!</definedName>
    <definedName name="gradetable" localSheetId="8">#REF!</definedName>
    <definedName name="gradetable" localSheetId="9">#REF!</definedName>
    <definedName name="gradetable" localSheetId="11">#REF!</definedName>
    <definedName name="gradetable" localSheetId="12">#REF!</definedName>
    <definedName name="gradetable" localSheetId="14">#REF!</definedName>
    <definedName name="gradetable" localSheetId="15">#REF!</definedName>
    <definedName name="gradetable" localSheetId="16">#REF!</definedName>
    <definedName name="gradetable" localSheetId="17">#REF!</definedName>
    <definedName name="gradetable" localSheetId="10">#REF!</definedName>
    <definedName name="gradetable" localSheetId="13">#REF!</definedName>
    <definedName name="gradetable">#REF!</definedName>
    <definedName name="gradetable2" localSheetId="2">#REF!</definedName>
    <definedName name="gradetable2" localSheetId="3">#REF!</definedName>
    <definedName name="gradetable2" localSheetId="4">#REF!</definedName>
    <definedName name="gradetable2" localSheetId="5">#REF!</definedName>
    <definedName name="gradetable2" localSheetId="6">#REF!</definedName>
    <definedName name="gradetable2" localSheetId="7">#REF!</definedName>
    <definedName name="gradetable2" localSheetId="8">#REF!</definedName>
    <definedName name="gradetable2" localSheetId="9">#REF!</definedName>
    <definedName name="gradetable2" localSheetId="11">#REF!</definedName>
    <definedName name="gradetable2" localSheetId="12">#REF!</definedName>
    <definedName name="gradetable2" localSheetId="14">#REF!</definedName>
    <definedName name="gradetable2" localSheetId="15">#REF!</definedName>
    <definedName name="gradetable2" localSheetId="16">#REF!</definedName>
    <definedName name="gradetable2" localSheetId="17">#REF!</definedName>
    <definedName name="gradetable2" localSheetId="10">#REF!</definedName>
    <definedName name="gradetable2" localSheetId="13">#REF!</definedName>
    <definedName name="gradetable2">#REF!</definedName>
    <definedName name="XXX" localSheetId="2">#REF!</definedName>
    <definedName name="XXX" localSheetId="3">#REF!</definedName>
    <definedName name="XXX" localSheetId="4">#REF!</definedName>
    <definedName name="XXX" localSheetId="5">#REF!</definedName>
    <definedName name="XXX" localSheetId="6">#REF!</definedName>
    <definedName name="XXX" localSheetId="7">#REF!</definedName>
    <definedName name="XXX" localSheetId="8">#REF!</definedName>
    <definedName name="XXX" localSheetId="9">#REF!</definedName>
    <definedName name="XXX" localSheetId="11">#REF!</definedName>
    <definedName name="XXX" localSheetId="12">#REF!</definedName>
    <definedName name="XXX" localSheetId="14">#REF!</definedName>
    <definedName name="XXX" localSheetId="15">#REF!</definedName>
    <definedName name="XXX" localSheetId="16">#REF!</definedName>
    <definedName name="XXX" localSheetId="17">#REF!</definedName>
    <definedName name="XXX" localSheetId="10">#REF!</definedName>
    <definedName name="XXX" localSheetId="13">#REF!</definedName>
    <definedName name="XXX">#REF!</definedName>
  </definedNames>
  <calcPr calcId="162913"/>
</workbook>
</file>

<file path=xl/calcChain.xml><?xml version="1.0" encoding="utf-8"?>
<calcChain xmlns="http://schemas.openxmlformats.org/spreadsheetml/2006/main">
  <c r="R67" i="128" l="1"/>
  <c r="R66" i="128"/>
  <c r="R65" i="128"/>
  <c r="R64" i="128"/>
  <c r="R63" i="128"/>
  <c r="R62" i="128"/>
  <c r="R61" i="128"/>
  <c r="R60" i="128"/>
  <c r="R59" i="128"/>
  <c r="R58" i="128"/>
  <c r="R57" i="128"/>
  <c r="R56" i="128"/>
  <c r="R55" i="128"/>
  <c r="R54" i="128"/>
  <c r="R53" i="128"/>
  <c r="R52" i="128"/>
  <c r="R51" i="128"/>
  <c r="R50" i="128"/>
  <c r="R49" i="128"/>
  <c r="R48" i="128"/>
  <c r="R47" i="128"/>
  <c r="R46" i="128"/>
  <c r="R45" i="128"/>
  <c r="R44" i="128"/>
  <c r="R43" i="128"/>
  <c r="R42" i="128"/>
  <c r="R41" i="128"/>
  <c r="R40" i="128"/>
  <c r="R39" i="128"/>
  <c r="R38" i="128"/>
  <c r="R37" i="128"/>
  <c r="R36" i="128"/>
  <c r="R35" i="128"/>
  <c r="R34" i="128"/>
  <c r="R33" i="128"/>
  <c r="R32" i="128"/>
  <c r="R31" i="128"/>
  <c r="R30" i="128"/>
  <c r="R29" i="128"/>
  <c r="R28" i="128"/>
  <c r="R27" i="128"/>
  <c r="R26" i="128"/>
  <c r="R25" i="128"/>
  <c r="R24" i="128"/>
  <c r="R23" i="128"/>
  <c r="R22" i="128"/>
  <c r="R21" i="128"/>
  <c r="R20" i="128"/>
  <c r="R19" i="128"/>
  <c r="R18" i="128"/>
  <c r="R17" i="128"/>
  <c r="R16" i="128"/>
  <c r="R15" i="128"/>
  <c r="R14" i="128"/>
  <c r="R13" i="128"/>
  <c r="R12" i="128"/>
  <c r="R11" i="128"/>
  <c r="R10" i="128"/>
  <c r="R46" i="137" l="1"/>
  <c r="R45" i="137"/>
  <c r="R44" i="137"/>
  <c r="R43" i="137"/>
  <c r="R42" i="137"/>
  <c r="R41" i="137"/>
  <c r="R40" i="137"/>
  <c r="R39" i="137"/>
  <c r="R38" i="137"/>
  <c r="R37" i="137"/>
  <c r="R36" i="137"/>
  <c r="R35" i="137"/>
  <c r="R34" i="137"/>
  <c r="R33" i="137"/>
  <c r="R32" i="137"/>
  <c r="R31" i="137"/>
  <c r="R30" i="137"/>
  <c r="R29" i="137"/>
  <c r="R28" i="137"/>
  <c r="R27" i="137"/>
  <c r="R26" i="137"/>
  <c r="R25" i="137"/>
  <c r="R24" i="137"/>
  <c r="R23" i="137"/>
  <c r="R22" i="137"/>
  <c r="R21" i="137"/>
  <c r="R20" i="137"/>
  <c r="R19" i="137"/>
  <c r="R18" i="137"/>
  <c r="R17" i="137"/>
  <c r="R16" i="137"/>
  <c r="R15" i="137"/>
  <c r="R14" i="137"/>
  <c r="R13" i="137"/>
  <c r="R12" i="137"/>
  <c r="R11" i="137"/>
  <c r="R10" i="137"/>
  <c r="N6" i="137"/>
  <c r="R11" i="136"/>
  <c r="R10" i="136"/>
  <c r="R26" i="135"/>
  <c r="R25" i="135"/>
  <c r="R24" i="135"/>
  <c r="R23" i="135"/>
  <c r="R22" i="135"/>
  <c r="R21" i="135"/>
  <c r="R20" i="135"/>
  <c r="R19" i="135"/>
  <c r="R18" i="135"/>
  <c r="R17" i="135"/>
  <c r="R16" i="135"/>
  <c r="R15" i="135"/>
  <c r="R14" i="135"/>
  <c r="R13" i="135"/>
  <c r="R12" i="135"/>
  <c r="R11" i="135"/>
  <c r="R10" i="135"/>
  <c r="R40" i="134"/>
  <c r="R39" i="134"/>
  <c r="R38" i="134"/>
  <c r="R37" i="134"/>
  <c r="R36" i="134"/>
  <c r="R35" i="134"/>
  <c r="R34" i="134"/>
  <c r="R33" i="134"/>
  <c r="R32" i="134"/>
  <c r="R31" i="134"/>
  <c r="R30" i="134"/>
  <c r="R29" i="134"/>
  <c r="R28" i="134"/>
  <c r="R27" i="134"/>
  <c r="R26" i="134"/>
  <c r="R25" i="134"/>
  <c r="R24" i="134"/>
  <c r="R23" i="134"/>
  <c r="R22" i="134"/>
  <c r="R21" i="134"/>
  <c r="R20" i="134"/>
  <c r="R19" i="134"/>
  <c r="R18" i="134"/>
  <c r="R17" i="134"/>
  <c r="R16" i="134"/>
  <c r="R15" i="134"/>
  <c r="R14" i="134"/>
  <c r="R13" i="134"/>
  <c r="R12" i="134"/>
  <c r="R11" i="134"/>
  <c r="R10" i="134"/>
  <c r="R40" i="133"/>
  <c r="R39" i="133"/>
  <c r="R38" i="133"/>
  <c r="R37" i="133"/>
  <c r="R36" i="133"/>
  <c r="R35" i="133"/>
  <c r="R34" i="133"/>
  <c r="R33" i="133"/>
  <c r="R32" i="133"/>
  <c r="R31" i="133"/>
  <c r="R30" i="133"/>
  <c r="R29" i="133"/>
  <c r="R28" i="133"/>
  <c r="R27" i="133"/>
  <c r="R26" i="133"/>
  <c r="R25" i="133"/>
  <c r="R24" i="133"/>
  <c r="R23" i="133"/>
  <c r="R22" i="133"/>
  <c r="R21" i="133"/>
  <c r="R20" i="133"/>
  <c r="R19" i="133"/>
  <c r="R18" i="133"/>
  <c r="R17" i="133"/>
  <c r="R16" i="133"/>
  <c r="R15" i="133"/>
  <c r="R14" i="133"/>
  <c r="R13" i="133"/>
  <c r="R12" i="133"/>
  <c r="R11" i="133"/>
  <c r="R10" i="133"/>
  <c r="N6" i="133"/>
  <c r="R15" i="132"/>
  <c r="R14" i="132"/>
  <c r="R13" i="132"/>
  <c r="R12" i="132"/>
  <c r="R11" i="132"/>
  <c r="R10" i="132"/>
  <c r="N6" i="132"/>
  <c r="R39" i="131"/>
  <c r="R38" i="131"/>
  <c r="R37" i="131"/>
  <c r="R36" i="131"/>
  <c r="R35" i="131"/>
  <c r="R34" i="131"/>
  <c r="R33" i="131"/>
  <c r="R32" i="131"/>
  <c r="R31" i="131"/>
  <c r="R30" i="131"/>
  <c r="R29" i="131"/>
  <c r="R28" i="131"/>
  <c r="R27" i="131"/>
  <c r="R26" i="131"/>
  <c r="R25" i="131"/>
  <c r="R24" i="131"/>
  <c r="R23" i="131"/>
  <c r="R22" i="131"/>
  <c r="R21" i="131"/>
  <c r="R20" i="131"/>
  <c r="R19" i="131"/>
  <c r="R18" i="131"/>
  <c r="R17" i="131"/>
  <c r="R16" i="131"/>
  <c r="R15" i="131"/>
  <c r="R14" i="131"/>
  <c r="R13" i="131"/>
  <c r="R12" i="131"/>
  <c r="R11" i="131"/>
  <c r="R10" i="131"/>
  <c r="N6" i="131"/>
  <c r="R44" i="130"/>
  <c r="R43" i="130"/>
  <c r="R42" i="130"/>
  <c r="R41" i="130"/>
  <c r="R40" i="130"/>
  <c r="R39" i="130"/>
  <c r="R38" i="130"/>
  <c r="R37" i="130"/>
  <c r="R36" i="130"/>
  <c r="R35" i="130"/>
  <c r="R34" i="130"/>
  <c r="R33" i="130"/>
  <c r="R32" i="130"/>
  <c r="R31" i="130"/>
  <c r="R30" i="130"/>
  <c r="R29" i="130"/>
  <c r="R28" i="130"/>
  <c r="R27" i="130"/>
  <c r="R26" i="130"/>
  <c r="R25" i="130"/>
  <c r="R24" i="130"/>
  <c r="R23" i="130"/>
  <c r="R22" i="130"/>
  <c r="R21" i="130"/>
  <c r="R20" i="130"/>
  <c r="R19" i="130"/>
  <c r="R18" i="130"/>
  <c r="R17" i="130"/>
  <c r="R16" i="130"/>
  <c r="R15" i="130"/>
  <c r="R14" i="130"/>
  <c r="R13" i="130"/>
  <c r="R12" i="130"/>
  <c r="R11" i="130"/>
  <c r="R10" i="130"/>
  <c r="N6" i="130"/>
  <c r="R27" i="129"/>
  <c r="R26" i="129"/>
  <c r="R25" i="129"/>
  <c r="R24" i="129"/>
  <c r="R23" i="129"/>
  <c r="R22" i="129"/>
  <c r="R21" i="129"/>
  <c r="R20" i="129"/>
  <c r="R19" i="129"/>
  <c r="R18" i="129"/>
  <c r="R17" i="129"/>
  <c r="R16" i="129"/>
  <c r="R15" i="129"/>
  <c r="R14" i="129"/>
  <c r="R13" i="129"/>
  <c r="R12" i="129"/>
  <c r="R11" i="129"/>
  <c r="R10" i="129"/>
  <c r="N6" i="129"/>
  <c r="N6" i="128"/>
  <c r="R49" i="127"/>
  <c r="R48" i="127"/>
  <c r="R47" i="127"/>
  <c r="R46" i="127"/>
  <c r="R45" i="127"/>
  <c r="R44" i="127"/>
  <c r="R43" i="127"/>
  <c r="R42" i="127"/>
  <c r="R41" i="127"/>
  <c r="R40" i="127"/>
  <c r="R39" i="127"/>
  <c r="R38" i="127"/>
  <c r="R37" i="127"/>
  <c r="R36" i="127"/>
  <c r="R35" i="127"/>
  <c r="R34" i="127"/>
  <c r="R33" i="127"/>
  <c r="R32" i="127"/>
  <c r="R31" i="127"/>
  <c r="R30" i="127"/>
  <c r="R29" i="127"/>
  <c r="R28" i="127"/>
  <c r="R27" i="127"/>
  <c r="R26" i="127"/>
  <c r="R25" i="127"/>
  <c r="R24" i="127"/>
  <c r="R23" i="127"/>
  <c r="R22" i="127"/>
  <c r="R21" i="127"/>
  <c r="R20" i="127"/>
  <c r="R19" i="127"/>
  <c r="R18" i="127"/>
  <c r="R17" i="127"/>
  <c r="R16" i="127"/>
  <c r="R15" i="127"/>
  <c r="R14" i="127"/>
  <c r="R13" i="127"/>
  <c r="R12" i="127"/>
  <c r="R11" i="127"/>
  <c r="R10" i="127"/>
  <c r="N6" i="127"/>
  <c r="R69" i="126"/>
  <c r="R68" i="126"/>
  <c r="R67" i="126"/>
  <c r="R66" i="126"/>
  <c r="R65" i="126"/>
  <c r="R64" i="126"/>
  <c r="R63" i="126"/>
  <c r="R62" i="126"/>
  <c r="R61" i="126"/>
  <c r="R60" i="126"/>
  <c r="R59" i="126"/>
  <c r="R58" i="126"/>
  <c r="R57" i="126"/>
  <c r="R56" i="126"/>
  <c r="R55" i="126"/>
  <c r="R54" i="126"/>
  <c r="R53" i="126"/>
  <c r="R52" i="126"/>
  <c r="R51" i="126"/>
  <c r="R50" i="126"/>
  <c r="R49" i="126"/>
  <c r="R48" i="126"/>
  <c r="R47" i="126"/>
  <c r="R46" i="126"/>
  <c r="R45" i="126"/>
  <c r="R44" i="126"/>
  <c r="R43" i="126"/>
  <c r="R42" i="126"/>
  <c r="R41" i="126"/>
  <c r="R40" i="126"/>
  <c r="R39" i="126"/>
  <c r="R38" i="126"/>
  <c r="R37" i="126"/>
  <c r="R36" i="126"/>
  <c r="R35" i="126"/>
  <c r="R34" i="126"/>
  <c r="R33" i="126"/>
  <c r="R32" i="126"/>
  <c r="R31" i="126"/>
  <c r="R30" i="126"/>
  <c r="R29" i="126"/>
  <c r="R28" i="126"/>
  <c r="R27" i="126"/>
  <c r="R26" i="126"/>
  <c r="R25" i="126"/>
  <c r="R24" i="126"/>
  <c r="R23" i="126"/>
  <c r="R22" i="126"/>
  <c r="R21" i="126"/>
  <c r="R20" i="126"/>
  <c r="R19" i="126"/>
  <c r="R18" i="126"/>
  <c r="R17" i="126"/>
  <c r="R16" i="126"/>
  <c r="R15" i="126"/>
  <c r="R14" i="126"/>
  <c r="R13" i="126"/>
  <c r="R12" i="126"/>
  <c r="R11" i="126"/>
  <c r="R10" i="126"/>
  <c r="N6" i="126"/>
  <c r="R13" i="125"/>
  <c r="R12" i="125"/>
  <c r="R11" i="125"/>
  <c r="R10" i="125"/>
  <c r="N6" i="125"/>
  <c r="R14" i="124"/>
  <c r="R13" i="124"/>
  <c r="R12" i="124"/>
  <c r="R11" i="124"/>
  <c r="R10" i="124"/>
  <c r="N6" i="124"/>
  <c r="R10" i="123"/>
  <c r="N6" i="123"/>
  <c r="R13" i="122"/>
  <c r="R12" i="122"/>
  <c r="R11" i="122"/>
  <c r="R10" i="122"/>
  <c r="N6" i="122"/>
  <c r="J92" i="129" l="1"/>
  <c r="J91" i="129"/>
  <c r="J90" i="129"/>
  <c r="J89" i="129"/>
  <c r="J88" i="129"/>
  <c r="J94" i="131" l="1"/>
  <c r="J93" i="131"/>
  <c r="J92" i="131"/>
  <c r="J91" i="131"/>
  <c r="J90" i="131"/>
  <c r="J94" i="137" l="1"/>
  <c r="J93" i="137"/>
  <c r="J92" i="137"/>
  <c r="J91" i="137"/>
  <c r="J90" i="137"/>
  <c r="J94" i="136"/>
  <c r="J93" i="136"/>
  <c r="J92" i="136"/>
  <c r="J91" i="136"/>
  <c r="J90" i="136"/>
  <c r="J94" i="135" l="1"/>
  <c r="J93" i="135"/>
  <c r="J92" i="135"/>
  <c r="J91" i="135"/>
  <c r="J90" i="135"/>
  <c r="J94" i="134"/>
  <c r="J91" i="134"/>
  <c r="J90" i="134"/>
  <c r="L41" i="134"/>
  <c r="J93" i="134" s="1"/>
  <c r="J94" i="133"/>
  <c r="J93" i="133"/>
  <c r="J92" i="133"/>
  <c r="J91" i="133"/>
  <c r="J90" i="133"/>
  <c r="J94" i="132"/>
  <c r="J93" i="132"/>
  <c r="J92" i="132"/>
  <c r="J91" i="132"/>
  <c r="J90" i="132"/>
  <c r="J94" i="130"/>
  <c r="J93" i="130"/>
  <c r="J92" i="130"/>
  <c r="J91" i="130"/>
  <c r="J90" i="130"/>
  <c r="J92" i="134" l="1"/>
  <c r="J94" i="128" l="1"/>
  <c r="J90" i="128"/>
  <c r="L68" i="128"/>
  <c r="J93" i="128" s="1"/>
  <c r="J94" i="127"/>
  <c r="J93" i="127"/>
  <c r="J92" i="127"/>
  <c r="J91" i="127"/>
  <c r="J90" i="127"/>
  <c r="J91" i="128" l="1"/>
  <c r="J92" i="128"/>
  <c r="L70" i="126" l="1"/>
  <c r="J94" i="126" l="1"/>
  <c r="J90" i="126"/>
  <c r="J93" i="126"/>
  <c r="J92" i="126"/>
  <c r="J91" i="126"/>
  <c r="J94" i="125" l="1"/>
  <c r="J93" i="125"/>
  <c r="J92" i="125"/>
  <c r="J91" i="125"/>
  <c r="J90" i="125"/>
  <c r="J94" i="124"/>
  <c r="J93" i="124"/>
  <c r="J92" i="124"/>
  <c r="J91" i="124"/>
  <c r="J90" i="124"/>
  <c r="J94" i="123"/>
  <c r="J93" i="123"/>
  <c r="J92" i="123"/>
  <c r="J91" i="123"/>
  <c r="J90" i="123"/>
  <c r="J94" i="122"/>
  <c r="J93" i="122"/>
  <c r="J92" i="122"/>
  <c r="J91" i="122"/>
  <c r="J90" i="122"/>
  <c r="I94" i="137"/>
  <c r="H94" i="137"/>
  <c r="G94" i="137"/>
  <c r="I93" i="137"/>
  <c r="H93" i="137"/>
  <c r="I92" i="137"/>
  <c r="H92" i="137"/>
  <c r="I91" i="137"/>
  <c r="H91" i="137"/>
  <c r="I90" i="137"/>
  <c r="H90" i="137"/>
  <c r="F90" i="137"/>
  <c r="H95" i="137" s="1"/>
  <c r="K88" i="137"/>
  <c r="K87" i="137"/>
  <c r="K86" i="137"/>
  <c r="K85" i="137"/>
  <c r="K84" i="137"/>
  <c r="K83" i="137"/>
  <c r="K82" i="137"/>
  <c r="K81" i="137"/>
  <c r="K80" i="137"/>
  <c r="K79" i="137"/>
  <c r="K78" i="137"/>
  <c r="K77" i="137"/>
  <c r="K76" i="137"/>
  <c r="K75" i="137"/>
  <c r="K74" i="137"/>
  <c r="K73" i="137"/>
  <c r="K72" i="137"/>
  <c r="K71" i="137"/>
  <c r="K70" i="137"/>
  <c r="K69" i="137"/>
  <c r="K68" i="137"/>
  <c r="K67" i="137"/>
  <c r="K66" i="137"/>
  <c r="K65" i="137"/>
  <c r="K64" i="137"/>
  <c r="K63" i="137"/>
  <c r="K62" i="137"/>
  <c r="K61" i="137"/>
  <c r="K60" i="137"/>
  <c r="K59" i="137"/>
  <c r="K58" i="137"/>
  <c r="K57" i="137"/>
  <c r="K56" i="137"/>
  <c r="K55" i="137"/>
  <c r="K54" i="137"/>
  <c r="K53" i="137"/>
  <c r="K52" i="137"/>
  <c r="K51" i="137"/>
  <c r="K50" i="137"/>
  <c r="K49" i="137"/>
  <c r="K48" i="137"/>
  <c r="K47" i="137"/>
  <c r="N4" i="137" a="1"/>
  <c r="N4" i="137" s="1"/>
  <c r="B2" i="137"/>
  <c r="I94" i="136"/>
  <c r="H94" i="136"/>
  <c r="G94" i="136"/>
  <c r="I93" i="136"/>
  <c r="H93" i="136"/>
  <c r="I92" i="136"/>
  <c r="H92" i="136"/>
  <c r="I91" i="136"/>
  <c r="H91" i="136"/>
  <c r="I90" i="136"/>
  <c r="H90" i="136"/>
  <c r="F90" i="136"/>
  <c r="K88" i="136"/>
  <c r="K87" i="136"/>
  <c r="K86" i="136"/>
  <c r="K85" i="136"/>
  <c r="K84" i="136"/>
  <c r="K83" i="136"/>
  <c r="K82" i="136"/>
  <c r="K81" i="136"/>
  <c r="K80" i="136"/>
  <c r="K79" i="136"/>
  <c r="K78" i="136"/>
  <c r="K77" i="136"/>
  <c r="K76" i="136"/>
  <c r="K75" i="136"/>
  <c r="K74" i="136"/>
  <c r="K73" i="136"/>
  <c r="K72" i="136"/>
  <c r="K71" i="136"/>
  <c r="K70" i="136"/>
  <c r="K69" i="136"/>
  <c r="K68" i="136"/>
  <c r="K67" i="136"/>
  <c r="K66" i="136"/>
  <c r="K65" i="136"/>
  <c r="K64" i="136"/>
  <c r="K63" i="136"/>
  <c r="K62" i="136"/>
  <c r="K61" i="136"/>
  <c r="K60" i="136"/>
  <c r="K59" i="136"/>
  <c r="K58" i="136"/>
  <c r="K57" i="136"/>
  <c r="K56" i="136"/>
  <c r="K55" i="136"/>
  <c r="K54" i="136"/>
  <c r="K53" i="136"/>
  <c r="K52" i="136"/>
  <c r="K51" i="136"/>
  <c r="K50" i="136"/>
  <c r="K49" i="136"/>
  <c r="K48" i="136"/>
  <c r="K47" i="136"/>
  <c r="K46" i="136"/>
  <c r="K45" i="136"/>
  <c r="K44" i="136"/>
  <c r="K43" i="136"/>
  <c r="K42" i="136"/>
  <c r="K41" i="136"/>
  <c r="K40" i="136"/>
  <c r="K39" i="136"/>
  <c r="K38" i="136"/>
  <c r="K37" i="136"/>
  <c r="K36" i="136"/>
  <c r="K35" i="136"/>
  <c r="K34" i="136"/>
  <c r="K33" i="136"/>
  <c r="K32" i="136"/>
  <c r="K31" i="136"/>
  <c r="K30" i="136"/>
  <c r="K29" i="136"/>
  <c r="K28" i="136"/>
  <c r="K27" i="136"/>
  <c r="K26" i="136"/>
  <c r="K25" i="136"/>
  <c r="K24" i="136"/>
  <c r="K23" i="136"/>
  <c r="K22" i="136"/>
  <c r="K21" i="136"/>
  <c r="K20" i="136"/>
  <c r="K19" i="136"/>
  <c r="K18" i="136"/>
  <c r="K17" i="136"/>
  <c r="K16" i="136"/>
  <c r="K15" i="136"/>
  <c r="K14" i="136"/>
  <c r="K13" i="136"/>
  <c r="K12" i="136"/>
  <c r="N6" i="136"/>
  <c r="N4" i="136" a="1"/>
  <c r="N4" i="136" s="1"/>
  <c r="B2" i="136"/>
  <c r="I94" i="135"/>
  <c r="H94" i="135"/>
  <c r="G94" i="135"/>
  <c r="I93" i="135"/>
  <c r="H93" i="135"/>
  <c r="I92" i="135"/>
  <c r="H92" i="135"/>
  <c r="I91" i="135"/>
  <c r="H91" i="135"/>
  <c r="I90" i="135"/>
  <c r="H90" i="135"/>
  <c r="F90" i="135"/>
  <c r="K88" i="135"/>
  <c r="K87" i="135"/>
  <c r="K86" i="135"/>
  <c r="K85" i="135"/>
  <c r="K84" i="135"/>
  <c r="K83" i="135"/>
  <c r="K82" i="135"/>
  <c r="K81" i="135"/>
  <c r="K80" i="135"/>
  <c r="K79" i="135"/>
  <c r="K78" i="135"/>
  <c r="K77" i="135"/>
  <c r="K76" i="135"/>
  <c r="K75" i="135"/>
  <c r="K74" i="135"/>
  <c r="K73" i="135"/>
  <c r="K72" i="135"/>
  <c r="K71" i="135"/>
  <c r="K70" i="135"/>
  <c r="K69" i="135"/>
  <c r="K68" i="135"/>
  <c r="K67" i="135"/>
  <c r="K66" i="135"/>
  <c r="K65" i="135"/>
  <c r="K64" i="135"/>
  <c r="K63" i="135"/>
  <c r="K62" i="135"/>
  <c r="K61" i="135"/>
  <c r="K60" i="135"/>
  <c r="K59" i="135"/>
  <c r="K58" i="135"/>
  <c r="K57" i="135"/>
  <c r="K56" i="135"/>
  <c r="K55" i="135"/>
  <c r="K54" i="135"/>
  <c r="K53" i="135"/>
  <c r="K52" i="135"/>
  <c r="K51" i="135"/>
  <c r="K50" i="135"/>
  <c r="K49" i="135"/>
  <c r="K48" i="135"/>
  <c r="K47" i="135"/>
  <c r="K46" i="135"/>
  <c r="K45" i="135"/>
  <c r="K44" i="135"/>
  <c r="K43" i="135"/>
  <c r="K42" i="135"/>
  <c r="K41" i="135"/>
  <c r="K40" i="135"/>
  <c r="K39" i="135"/>
  <c r="K38" i="135"/>
  <c r="K37" i="135"/>
  <c r="K36" i="135"/>
  <c r="K35" i="135"/>
  <c r="K34" i="135"/>
  <c r="K33" i="135"/>
  <c r="K32" i="135"/>
  <c r="K31" i="135"/>
  <c r="K30" i="135"/>
  <c r="K29" i="135"/>
  <c r="K28" i="135"/>
  <c r="K27" i="135"/>
  <c r="N6" i="135"/>
  <c r="N4" i="135" a="1"/>
  <c r="N4" i="135" s="1"/>
  <c r="B2" i="135"/>
  <c r="I94" i="134"/>
  <c r="H94" i="134"/>
  <c r="G94" i="134"/>
  <c r="I93" i="134"/>
  <c r="H93" i="134"/>
  <c r="I92" i="134"/>
  <c r="H92" i="134"/>
  <c r="I91" i="134"/>
  <c r="H91" i="134"/>
  <c r="I90" i="134"/>
  <c r="H90" i="134"/>
  <c r="F90" i="134"/>
  <c r="K88" i="134"/>
  <c r="K87" i="134"/>
  <c r="K86" i="134"/>
  <c r="K85" i="134"/>
  <c r="K84" i="134"/>
  <c r="K83" i="134"/>
  <c r="K82" i="134"/>
  <c r="K81" i="134"/>
  <c r="K80" i="134"/>
  <c r="K79" i="134"/>
  <c r="K78" i="134"/>
  <c r="K77" i="134"/>
  <c r="K76" i="134"/>
  <c r="K75" i="134"/>
  <c r="K74" i="134"/>
  <c r="K73" i="134"/>
  <c r="K72" i="134"/>
  <c r="K71" i="134"/>
  <c r="K70" i="134"/>
  <c r="K69" i="134"/>
  <c r="K68" i="134"/>
  <c r="K67" i="134"/>
  <c r="K66" i="134"/>
  <c r="K65" i="134"/>
  <c r="K64" i="134"/>
  <c r="K63" i="134"/>
  <c r="K62" i="134"/>
  <c r="K61" i="134"/>
  <c r="K60" i="134"/>
  <c r="K59" i="134"/>
  <c r="K58" i="134"/>
  <c r="K57" i="134"/>
  <c r="K56" i="134"/>
  <c r="K55" i="134"/>
  <c r="K54" i="134"/>
  <c r="K53" i="134"/>
  <c r="K52" i="134"/>
  <c r="K51" i="134"/>
  <c r="K50" i="134"/>
  <c r="K49" i="134"/>
  <c r="K48" i="134"/>
  <c r="K47" i="134"/>
  <c r="K46" i="134"/>
  <c r="K45" i="134"/>
  <c r="K44" i="134"/>
  <c r="K43" i="134"/>
  <c r="K42" i="134"/>
  <c r="K41" i="134"/>
  <c r="N6" i="134"/>
  <c r="N4" i="134" a="1"/>
  <c r="N4" i="134" s="1"/>
  <c r="B2" i="134"/>
  <c r="I94" i="133"/>
  <c r="H94" i="133"/>
  <c r="G94" i="133"/>
  <c r="I93" i="133"/>
  <c r="H93" i="133"/>
  <c r="I92" i="133"/>
  <c r="H92" i="133"/>
  <c r="I91" i="133"/>
  <c r="H91" i="133"/>
  <c r="I90" i="133"/>
  <c r="H90" i="133"/>
  <c r="F90" i="133"/>
  <c r="K88" i="133"/>
  <c r="K87" i="133"/>
  <c r="K86" i="133"/>
  <c r="K85" i="133"/>
  <c r="K84" i="133"/>
  <c r="K83" i="133"/>
  <c r="K82" i="133"/>
  <c r="K81" i="133"/>
  <c r="K80" i="133"/>
  <c r="K79" i="133"/>
  <c r="K78" i="133"/>
  <c r="K77" i="133"/>
  <c r="K76" i="133"/>
  <c r="K75" i="133"/>
  <c r="K74" i="133"/>
  <c r="K73" i="133"/>
  <c r="K72" i="133"/>
  <c r="K71" i="133"/>
  <c r="K70" i="133"/>
  <c r="K69" i="133"/>
  <c r="K68" i="133"/>
  <c r="K67" i="133"/>
  <c r="K66" i="133"/>
  <c r="K65" i="133"/>
  <c r="K64" i="133"/>
  <c r="K63" i="133"/>
  <c r="K62" i="133"/>
  <c r="K61" i="133"/>
  <c r="K60" i="133"/>
  <c r="K59" i="133"/>
  <c r="K58" i="133"/>
  <c r="K57" i="133"/>
  <c r="K56" i="133"/>
  <c r="K55" i="133"/>
  <c r="K54" i="133"/>
  <c r="K53" i="133"/>
  <c r="K52" i="133"/>
  <c r="K51" i="133"/>
  <c r="K50" i="133"/>
  <c r="K49" i="133"/>
  <c r="K48" i="133"/>
  <c r="K47" i="133"/>
  <c r="K46" i="133"/>
  <c r="K45" i="133"/>
  <c r="K44" i="133"/>
  <c r="K43" i="133"/>
  <c r="K42" i="133"/>
  <c r="K41" i="133"/>
  <c r="N4" i="133" a="1"/>
  <c r="N4" i="133" s="1"/>
  <c r="B2" i="133"/>
  <c r="I94" i="132"/>
  <c r="H94" i="132"/>
  <c r="G94" i="132"/>
  <c r="I93" i="132"/>
  <c r="H93" i="132"/>
  <c r="I92" i="132"/>
  <c r="H92" i="132"/>
  <c r="I91" i="132"/>
  <c r="H91" i="132"/>
  <c r="I90" i="132"/>
  <c r="H90" i="132"/>
  <c r="F90" i="132"/>
  <c r="K88" i="132"/>
  <c r="K87" i="132"/>
  <c r="K86" i="132"/>
  <c r="K85" i="132"/>
  <c r="K84" i="132"/>
  <c r="K83" i="132"/>
  <c r="K82" i="132"/>
  <c r="K81" i="132"/>
  <c r="K80" i="132"/>
  <c r="K79" i="132"/>
  <c r="K78" i="132"/>
  <c r="K77" i="132"/>
  <c r="K76" i="132"/>
  <c r="K75" i="132"/>
  <c r="K74" i="132"/>
  <c r="K73" i="132"/>
  <c r="K72" i="132"/>
  <c r="K71" i="132"/>
  <c r="K70" i="132"/>
  <c r="K69" i="132"/>
  <c r="K68" i="132"/>
  <c r="K67" i="132"/>
  <c r="K66" i="132"/>
  <c r="K65" i="132"/>
  <c r="K64" i="132"/>
  <c r="K63" i="132"/>
  <c r="K62" i="132"/>
  <c r="K61" i="132"/>
  <c r="K60" i="132"/>
  <c r="K59" i="132"/>
  <c r="K58" i="132"/>
  <c r="K57" i="132"/>
  <c r="K56" i="132"/>
  <c r="K55" i="132"/>
  <c r="K54" i="132"/>
  <c r="K53" i="132"/>
  <c r="K52" i="132"/>
  <c r="K51" i="132"/>
  <c r="K50" i="132"/>
  <c r="K49" i="132"/>
  <c r="K48" i="132"/>
  <c r="K47" i="132"/>
  <c r="K46" i="132"/>
  <c r="K45" i="132"/>
  <c r="K44" i="132"/>
  <c r="K43" i="132"/>
  <c r="K42" i="132"/>
  <c r="K41" i="132"/>
  <c r="K40" i="132"/>
  <c r="K39" i="132"/>
  <c r="K38" i="132"/>
  <c r="K37" i="132"/>
  <c r="K36" i="132"/>
  <c r="K35" i="132"/>
  <c r="K34" i="132"/>
  <c r="K33" i="132"/>
  <c r="K32" i="132"/>
  <c r="K31" i="132"/>
  <c r="K30" i="132"/>
  <c r="K29" i="132"/>
  <c r="K28" i="132"/>
  <c r="K27" i="132"/>
  <c r="K26" i="132"/>
  <c r="K25" i="132"/>
  <c r="K24" i="132"/>
  <c r="K23" i="132"/>
  <c r="K22" i="132"/>
  <c r="K21" i="132"/>
  <c r="K20" i="132"/>
  <c r="K19" i="132"/>
  <c r="K18" i="132"/>
  <c r="K17" i="132"/>
  <c r="K16" i="132"/>
  <c r="N4" i="132" a="1"/>
  <c r="N4" i="132" s="1"/>
  <c r="B2" i="132"/>
  <c r="I94" i="131"/>
  <c r="I95" i="131" s="1"/>
  <c r="H94" i="131"/>
  <c r="G94" i="131"/>
  <c r="I93" i="131"/>
  <c r="H93" i="131"/>
  <c r="I92" i="131"/>
  <c r="H92" i="131"/>
  <c r="I91" i="131"/>
  <c r="H91" i="131"/>
  <c r="I90" i="131"/>
  <c r="H90" i="131"/>
  <c r="F90" i="131"/>
  <c r="H95" i="131" s="1"/>
  <c r="K88" i="131"/>
  <c r="K87" i="131"/>
  <c r="K86" i="131"/>
  <c r="K85" i="131"/>
  <c r="K84" i="131"/>
  <c r="K83" i="131"/>
  <c r="K82" i="131"/>
  <c r="K81" i="131"/>
  <c r="K80" i="131"/>
  <c r="K79" i="131"/>
  <c r="K78" i="131"/>
  <c r="K77" i="131"/>
  <c r="K76" i="131"/>
  <c r="K75" i="131"/>
  <c r="K74" i="131"/>
  <c r="K73" i="131"/>
  <c r="K72" i="131"/>
  <c r="K71" i="131"/>
  <c r="K70" i="131"/>
  <c r="K69" i="131"/>
  <c r="K68" i="131"/>
  <c r="K67" i="131"/>
  <c r="K66" i="131"/>
  <c r="K65" i="131"/>
  <c r="K64" i="131"/>
  <c r="K63" i="131"/>
  <c r="K62" i="131"/>
  <c r="K61" i="131"/>
  <c r="K60" i="131"/>
  <c r="K59" i="131"/>
  <c r="K58" i="131"/>
  <c r="K57" i="131"/>
  <c r="K56" i="131"/>
  <c r="K55" i="131"/>
  <c r="K54" i="131"/>
  <c r="K53" i="131"/>
  <c r="K52" i="131"/>
  <c r="K51" i="131"/>
  <c r="K50" i="131"/>
  <c r="K49" i="131"/>
  <c r="K48" i="131"/>
  <c r="K47" i="131"/>
  <c r="K46" i="131"/>
  <c r="K45" i="131"/>
  <c r="K44" i="131"/>
  <c r="K43" i="131"/>
  <c r="K42" i="131"/>
  <c r="K41" i="131"/>
  <c r="K40" i="131"/>
  <c r="N4" i="131" a="1"/>
  <c r="N4" i="131" s="1"/>
  <c r="B2" i="131"/>
  <c r="I94" i="130"/>
  <c r="H94" i="130"/>
  <c r="G94" i="130"/>
  <c r="I93" i="130"/>
  <c r="H93" i="130"/>
  <c r="I92" i="130"/>
  <c r="H92" i="130"/>
  <c r="I91" i="130"/>
  <c r="H91" i="130"/>
  <c r="I90" i="130"/>
  <c r="H90" i="130"/>
  <c r="F90" i="130"/>
  <c r="K88" i="130"/>
  <c r="K87" i="130"/>
  <c r="K86" i="130"/>
  <c r="K85" i="130"/>
  <c r="K84" i="130"/>
  <c r="K83" i="130"/>
  <c r="K82" i="130"/>
  <c r="K81" i="130"/>
  <c r="K80" i="130"/>
  <c r="K79" i="130"/>
  <c r="K78" i="130"/>
  <c r="K77" i="130"/>
  <c r="K76" i="130"/>
  <c r="K75" i="130"/>
  <c r="K74" i="130"/>
  <c r="K73" i="130"/>
  <c r="K72" i="130"/>
  <c r="K71" i="130"/>
  <c r="K70" i="130"/>
  <c r="K69" i="130"/>
  <c r="K68" i="130"/>
  <c r="K67" i="130"/>
  <c r="K66" i="130"/>
  <c r="K65" i="130"/>
  <c r="K64" i="130"/>
  <c r="K63" i="130"/>
  <c r="K62" i="130"/>
  <c r="K61" i="130"/>
  <c r="K60" i="130"/>
  <c r="K59" i="130"/>
  <c r="K58" i="130"/>
  <c r="K57" i="130"/>
  <c r="K56" i="130"/>
  <c r="K55" i="130"/>
  <c r="K54" i="130"/>
  <c r="K53" i="130"/>
  <c r="K52" i="130"/>
  <c r="K51" i="130"/>
  <c r="K50" i="130"/>
  <c r="K49" i="130"/>
  <c r="K48" i="130"/>
  <c r="K47" i="130"/>
  <c r="K46" i="130"/>
  <c r="K45" i="130"/>
  <c r="N4" i="130" a="1"/>
  <c r="N4" i="130" s="1"/>
  <c r="B2" i="130"/>
  <c r="I92" i="129"/>
  <c r="H92" i="129"/>
  <c r="G92" i="129"/>
  <c r="I91" i="129"/>
  <c r="H91" i="129"/>
  <c r="I90" i="129"/>
  <c r="H90" i="129"/>
  <c r="I89" i="129"/>
  <c r="H89" i="129"/>
  <c r="I88" i="129"/>
  <c r="H88" i="129"/>
  <c r="F88" i="129"/>
  <c r="K86" i="129"/>
  <c r="K85" i="129"/>
  <c r="K84" i="129"/>
  <c r="K83" i="129"/>
  <c r="K82" i="129"/>
  <c r="K81" i="129"/>
  <c r="K80" i="129"/>
  <c r="K79" i="129"/>
  <c r="K78" i="129"/>
  <c r="K77" i="129"/>
  <c r="K76" i="129"/>
  <c r="K75" i="129"/>
  <c r="K74" i="129"/>
  <c r="K73" i="129"/>
  <c r="K72" i="129"/>
  <c r="K71" i="129"/>
  <c r="K70" i="129"/>
  <c r="K69" i="129"/>
  <c r="K68" i="129"/>
  <c r="K67" i="129"/>
  <c r="K66" i="129"/>
  <c r="K65" i="129"/>
  <c r="K64" i="129"/>
  <c r="K63" i="129"/>
  <c r="K62" i="129"/>
  <c r="K61" i="129"/>
  <c r="K60" i="129"/>
  <c r="K59" i="129"/>
  <c r="K58" i="129"/>
  <c r="K57" i="129"/>
  <c r="K56" i="129"/>
  <c r="K55" i="129"/>
  <c r="K54" i="129"/>
  <c r="K53" i="129"/>
  <c r="K52" i="129"/>
  <c r="K51" i="129"/>
  <c r="K50" i="129"/>
  <c r="K49" i="129"/>
  <c r="K48" i="129"/>
  <c r="K47" i="129"/>
  <c r="K46" i="129"/>
  <c r="K45" i="129"/>
  <c r="K44" i="129"/>
  <c r="K43" i="129"/>
  <c r="K42" i="129"/>
  <c r="K41" i="129"/>
  <c r="K40" i="129"/>
  <c r="K39" i="129"/>
  <c r="K38" i="129"/>
  <c r="K37" i="129"/>
  <c r="K36" i="129"/>
  <c r="K35" i="129"/>
  <c r="K34" i="129"/>
  <c r="K33" i="129"/>
  <c r="K32" i="129"/>
  <c r="K31" i="129"/>
  <c r="K30" i="129"/>
  <c r="K29" i="129"/>
  <c r="K28" i="129"/>
  <c r="N4" i="129" a="1"/>
  <c r="N4" i="129" s="1"/>
  <c r="B2" i="129"/>
  <c r="I94" i="128"/>
  <c r="H94" i="128"/>
  <c r="G94" i="128"/>
  <c r="I93" i="128"/>
  <c r="H93" i="128"/>
  <c r="I92" i="128"/>
  <c r="H92" i="128"/>
  <c r="I91" i="128"/>
  <c r="H91" i="128"/>
  <c r="I90" i="128"/>
  <c r="H90" i="128"/>
  <c r="F90" i="128"/>
  <c r="K88" i="128"/>
  <c r="K87" i="128"/>
  <c r="K86" i="128"/>
  <c r="K85" i="128"/>
  <c r="K84" i="128"/>
  <c r="K83" i="128"/>
  <c r="K82" i="128"/>
  <c r="K81" i="128"/>
  <c r="K80" i="128"/>
  <c r="K79" i="128"/>
  <c r="K78" i="128"/>
  <c r="K77" i="128"/>
  <c r="K76" i="128"/>
  <c r="K75" i="128"/>
  <c r="K74" i="128"/>
  <c r="K73" i="128"/>
  <c r="K72" i="128"/>
  <c r="K71" i="128"/>
  <c r="K70" i="128"/>
  <c r="K69" i="128"/>
  <c r="K68" i="128"/>
  <c r="N4" i="128" a="1"/>
  <c r="N4" i="128" s="1"/>
  <c r="B2" i="128"/>
  <c r="I94" i="127"/>
  <c r="H94" i="127"/>
  <c r="G94" i="127"/>
  <c r="I93" i="127"/>
  <c r="H93" i="127"/>
  <c r="I92" i="127"/>
  <c r="H92" i="127"/>
  <c r="I91" i="127"/>
  <c r="H91" i="127"/>
  <c r="I90" i="127"/>
  <c r="H90" i="127"/>
  <c r="F90" i="127"/>
  <c r="K88" i="127"/>
  <c r="K87" i="127"/>
  <c r="K86" i="127"/>
  <c r="K85" i="127"/>
  <c r="K84" i="127"/>
  <c r="K83" i="127"/>
  <c r="K82" i="127"/>
  <c r="K81" i="127"/>
  <c r="K80" i="127"/>
  <c r="K79" i="127"/>
  <c r="K78" i="127"/>
  <c r="K77" i="127"/>
  <c r="K76" i="127"/>
  <c r="K75" i="127"/>
  <c r="K74" i="127"/>
  <c r="K73" i="127"/>
  <c r="K72" i="127"/>
  <c r="K71" i="127"/>
  <c r="K70" i="127"/>
  <c r="K69" i="127"/>
  <c r="K68" i="127"/>
  <c r="K67" i="127"/>
  <c r="K66" i="127"/>
  <c r="K65" i="127"/>
  <c r="K64" i="127"/>
  <c r="K63" i="127"/>
  <c r="K62" i="127"/>
  <c r="K61" i="127"/>
  <c r="K60" i="127"/>
  <c r="K59" i="127"/>
  <c r="K58" i="127"/>
  <c r="K57" i="127"/>
  <c r="K56" i="127"/>
  <c r="K55" i="127"/>
  <c r="K54" i="127"/>
  <c r="K53" i="127"/>
  <c r="K52" i="127"/>
  <c r="K51" i="127"/>
  <c r="K50" i="127"/>
  <c r="N4" i="127" a="1"/>
  <c r="N4" i="127" s="1"/>
  <c r="B2" i="127"/>
  <c r="I94" i="126"/>
  <c r="H94" i="126"/>
  <c r="G94" i="126"/>
  <c r="I93" i="126"/>
  <c r="H93" i="126"/>
  <c r="I92" i="126"/>
  <c r="H92" i="126"/>
  <c r="I91" i="126"/>
  <c r="H91" i="126"/>
  <c r="I90" i="126"/>
  <c r="H90" i="126"/>
  <c r="F90" i="126"/>
  <c r="K88" i="126"/>
  <c r="K87" i="126"/>
  <c r="K86" i="126"/>
  <c r="K85" i="126"/>
  <c r="K84" i="126"/>
  <c r="K83" i="126"/>
  <c r="K82" i="126"/>
  <c r="K81" i="126"/>
  <c r="K80" i="126"/>
  <c r="K79" i="126"/>
  <c r="K78" i="126"/>
  <c r="K77" i="126"/>
  <c r="K76" i="126"/>
  <c r="K75" i="126"/>
  <c r="K74" i="126"/>
  <c r="K73" i="126"/>
  <c r="K72" i="126"/>
  <c r="K71" i="126"/>
  <c r="K70" i="126"/>
  <c r="N4" i="126" a="1"/>
  <c r="N4" i="126" s="1"/>
  <c r="B2" i="126"/>
  <c r="I94" i="125"/>
  <c r="H94" i="125"/>
  <c r="G94" i="125"/>
  <c r="I93" i="125"/>
  <c r="H93" i="125"/>
  <c r="I92" i="125"/>
  <c r="H92" i="125"/>
  <c r="I91" i="125"/>
  <c r="H91" i="125"/>
  <c r="I90" i="125"/>
  <c r="H90" i="125"/>
  <c r="F90" i="125"/>
  <c r="K88" i="125"/>
  <c r="K87" i="125"/>
  <c r="K86" i="125"/>
  <c r="K85" i="125"/>
  <c r="K84" i="125"/>
  <c r="K83" i="125"/>
  <c r="K82" i="125"/>
  <c r="K81" i="125"/>
  <c r="K80" i="125"/>
  <c r="K79" i="125"/>
  <c r="K78" i="125"/>
  <c r="K77" i="125"/>
  <c r="K76" i="125"/>
  <c r="K75" i="125"/>
  <c r="K74" i="125"/>
  <c r="K73" i="125"/>
  <c r="K72" i="125"/>
  <c r="K71" i="125"/>
  <c r="K70" i="125"/>
  <c r="K69" i="125"/>
  <c r="K68" i="125"/>
  <c r="K67" i="125"/>
  <c r="K66" i="125"/>
  <c r="K65" i="125"/>
  <c r="K64" i="125"/>
  <c r="K63" i="125"/>
  <c r="K62" i="125"/>
  <c r="K61" i="125"/>
  <c r="K60" i="125"/>
  <c r="K59" i="125"/>
  <c r="K58" i="125"/>
  <c r="K57" i="125"/>
  <c r="K56" i="125"/>
  <c r="K55" i="125"/>
  <c r="K54" i="125"/>
  <c r="K53" i="125"/>
  <c r="K52" i="125"/>
  <c r="K51" i="125"/>
  <c r="K50" i="125"/>
  <c r="K49" i="125"/>
  <c r="K48" i="125"/>
  <c r="K47" i="125"/>
  <c r="K46" i="125"/>
  <c r="K45" i="125"/>
  <c r="K44" i="125"/>
  <c r="K43" i="125"/>
  <c r="K42" i="125"/>
  <c r="K41" i="125"/>
  <c r="K40" i="125"/>
  <c r="K39" i="125"/>
  <c r="K38" i="125"/>
  <c r="K37" i="125"/>
  <c r="K36" i="125"/>
  <c r="K35" i="125"/>
  <c r="K34" i="125"/>
  <c r="K33" i="125"/>
  <c r="K32" i="125"/>
  <c r="K31" i="125"/>
  <c r="K30" i="125"/>
  <c r="K29" i="125"/>
  <c r="K28" i="125"/>
  <c r="K27" i="125"/>
  <c r="K26" i="125"/>
  <c r="K25" i="125"/>
  <c r="K24" i="125"/>
  <c r="K23" i="125"/>
  <c r="K22" i="125"/>
  <c r="K21" i="125"/>
  <c r="K20" i="125"/>
  <c r="K19" i="125"/>
  <c r="K18" i="125"/>
  <c r="K17" i="125"/>
  <c r="K16" i="125"/>
  <c r="K15" i="125"/>
  <c r="K14" i="125"/>
  <c r="N4" i="125" a="1"/>
  <c r="N4" i="125" s="1"/>
  <c r="B2" i="125"/>
  <c r="I94" i="124"/>
  <c r="H94" i="124"/>
  <c r="G94" i="124"/>
  <c r="I93" i="124"/>
  <c r="H93" i="124"/>
  <c r="I92" i="124"/>
  <c r="H92" i="124"/>
  <c r="I91" i="124"/>
  <c r="H91" i="124"/>
  <c r="I90" i="124"/>
  <c r="H90" i="124"/>
  <c r="F90" i="124"/>
  <c r="K88" i="124"/>
  <c r="K87" i="124"/>
  <c r="K86" i="124"/>
  <c r="K85" i="124"/>
  <c r="K84" i="124"/>
  <c r="K83" i="124"/>
  <c r="K82" i="124"/>
  <c r="K81" i="124"/>
  <c r="K80" i="124"/>
  <c r="K79" i="124"/>
  <c r="K78" i="124"/>
  <c r="K77" i="124"/>
  <c r="K76" i="124"/>
  <c r="K75" i="124"/>
  <c r="K74" i="124"/>
  <c r="K73" i="124"/>
  <c r="K72" i="124"/>
  <c r="K71" i="124"/>
  <c r="K70" i="124"/>
  <c r="K69" i="124"/>
  <c r="K68" i="124"/>
  <c r="K67" i="124"/>
  <c r="K66" i="124"/>
  <c r="K65" i="124"/>
  <c r="K64" i="124"/>
  <c r="K63" i="124"/>
  <c r="K62" i="124"/>
  <c r="K61" i="124"/>
  <c r="K60" i="124"/>
  <c r="K59" i="124"/>
  <c r="K58" i="124"/>
  <c r="K57" i="124"/>
  <c r="K56" i="124"/>
  <c r="K55" i="124"/>
  <c r="K54" i="124"/>
  <c r="K53" i="124"/>
  <c r="K52" i="124"/>
  <c r="K51" i="124"/>
  <c r="K50" i="124"/>
  <c r="K49" i="124"/>
  <c r="K48" i="124"/>
  <c r="K47" i="124"/>
  <c r="K46" i="124"/>
  <c r="K45" i="124"/>
  <c r="K44" i="124"/>
  <c r="K43" i="124"/>
  <c r="K42" i="124"/>
  <c r="K41" i="124"/>
  <c r="K40" i="124"/>
  <c r="K39" i="124"/>
  <c r="K38" i="124"/>
  <c r="K37" i="124"/>
  <c r="K36" i="124"/>
  <c r="K35" i="124"/>
  <c r="K34" i="124"/>
  <c r="K33" i="124"/>
  <c r="K32" i="124"/>
  <c r="K31" i="124"/>
  <c r="K30" i="124"/>
  <c r="K29" i="124"/>
  <c r="K28" i="124"/>
  <c r="K27" i="124"/>
  <c r="K26" i="124"/>
  <c r="K25" i="124"/>
  <c r="K24" i="124"/>
  <c r="K23" i="124"/>
  <c r="K22" i="124"/>
  <c r="K21" i="124"/>
  <c r="K20" i="124"/>
  <c r="K19" i="124"/>
  <c r="K18" i="124"/>
  <c r="K17" i="124"/>
  <c r="K16" i="124"/>
  <c r="K15" i="124"/>
  <c r="N4" i="124" a="1"/>
  <c r="N4" i="124" s="1"/>
  <c r="B2" i="124"/>
  <c r="I94" i="123"/>
  <c r="H94" i="123"/>
  <c r="G94" i="123"/>
  <c r="I93" i="123"/>
  <c r="H93" i="123"/>
  <c r="I92" i="123"/>
  <c r="H92" i="123"/>
  <c r="I91" i="123"/>
  <c r="H91" i="123"/>
  <c r="I90" i="123"/>
  <c r="H90" i="123"/>
  <c r="F90" i="123"/>
  <c r="K88" i="123"/>
  <c r="K87" i="123"/>
  <c r="K86" i="123"/>
  <c r="K85" i="123"/>
  <c r="K84" i="123"/>
  <c r="K83" i="123"/>
  <c r="K82" i="123"/>
  <c r="K81" i="123"/>
  <c r="K80" i="123"/>
  <c r="K79" i="123"/>
  <c r="K78" i="123"/>
  <c r="K77" i="123"/>
  <c r="K76" i="123"/>
  <c r="K75" i="123"/>
  <c r="K74" i="123"/>
  <c r="K73" i="123"/>
  <c r="K72" i="123"/>
  <c r="K71" i="123"/>
  <c r="K70" i="123"/>
  <c r="K69" i="123"/>
  <c r="K68" i="123"/>
  <c r="K67" i="123"/>
  <c r="K66" i="123"/>
  <c r="K65" i="123"/>
  <c r="K64" i="123"/>
  <c r="K63" i="123"/>
  <c r="K62" i="123"/>
  <c r="K61" i="123"/>
  <c r="K60" i="123"/>
  <c r="K59" i="123"/>
  <c r="K58" i="123"/>
  <c r="K57" i="123"/>
  <c r="K56" i="123"/>
  <c r="K55" i="123"/>
  <c r="K54" i="123"/>
  <c r="K53" i="123"/>
  <c r="K52" i="123"/>
  <c r="K51" i="123"/>
  <c r="K50" i="123"/>
  <c r="K49" i="123"/>
  <c r="K48" i="123"/>
  <c r="K47" i="123"/>
  <c r="K46" i="123"/>
  <c r="K45" i="123"/>
  <c r="K44" i="123"/>
  <c r="K43" i="123"/>
  <c r="K42" i="123"/>
  <c r="K41" i="123"/>
  <c r="K40" i="123"/>
  <c r="K39" i="123"/>
  <c r="K38" i="123"/>
  <c r="K37" i="123"/>
  <c r="K36" i="123"/>
  <c r="K35" i="123"/>
  <c r="K34" i="123"/>
  <c r="K33" i="123"/>
  <c r="K32" i="123"/>
  <c r="K31" i="123"/>
  <c r="K30" i="123"/>
  <c r="K29" i="123"/>
  <c r="K28" i="123"/>
  <c r="K27" i="123"/>
  <c r="K26" i="123"/>
  <c r="K25" i="123"/>
  <c r="K24" i="123"/>
  <c r="K23" i="123"/>
  <c r="K22" i="123"/>
  <c r="K21" i="123"/>
  <c r="K20" i="123"/>
  <c r="K19" i="123"/>
  <c r="K18" i="123"/>
  <c r="K17" i="123"/>
  <c r="K16" i="123"/>
  <c r="K15" i="123"/>
  <c r="K14" i="123"/>
  <c r="K13" i="123"/>
  <c r="K12" i="123"/>
  <c r="K11" i="123"/>
  <c r="N4" i="123" a="1"/>
  <c r="N4" i="123" s="1"/>
  <c r="B2" i="123"/>
  <c r="I94" i="122"/>
  <c r="H94" i="122"/>
  <c r="G94" i="122"/>
  <c r="I93" i="122"/>
  <c r="H93" i="122"/>
  <c r="I92" i="122"/>
  <c r="H92" i="122"/>
  <c r="I91" i="122"/>
  <c r="H91" i="122"/>
  <c r="I90" i="122"/>
  <c r="H90" i="122"/>
  <c r="F90" i="122"/>
  <c r="H95" i="122" s="1"/>
  <c r="K88" i="122"/>
  <c r="K87" i="122"/>
  <c r="K86" i="122"/>
  <c r="K85" i="122"/>
  <c r="K84" i="122"/>
  <c r="K83" i="122"/>
  <c r="K82" i="122"/>
  <c r="K81" i="122"/>
  <c r="K80" i="122"/>
  <c r="K79" i="122"/>
  <c r="K78" i="122"/>
  <c r="K77" i="122"/>
  <c r="K76" i="122"/>
  <c r="K75" i="122"/>
  <c r="K74" i="122"/>
  <c r="K73" i="122"/>
  <c r="K72" i="122"/>
  <c r="K71" i="122"/>
  <c r="K70" i="122"/>
  <c r="K69" i="122"/>
  <c r="K68" i="122"/>
  <c r="K67" i="122"/>
  <c r="K66" i="122"/>
  <c r="K65" i="122"/>
  <c r="K64" i="122"/>
  <c r="K63" i="122"/>
  <c r="K62" i="122"/>
  <c r="K61" i="122"/>
  <c r="K60" i="122"/>
  <c r="K59" i="122"/>
  <c r="K58" i="122"/>
  <c r="K57" i="122"/>
  <c r="K56" i="122"/>
  <c r="K55" i="122"/>
  <c r="K54" i="122"/>
  <c r="K53" i="122"/>
  <c r="K52" i="122"/>
  <c r="K51" i="122"/>
  <c r="K50" i="122"/>
  <c r="K49" i="122"/>
  <c r="K48" i="122"/>
  <c r="K47" i="122"/>
  <c r="K46" i="122"/>
  <c r="K45" i="122"/>
  <c r="K44" i="122"/>
  <c r="K43" i="122"/>
  <c r="K42" i="122"/>
  <c r="K41" i="122"/>
  <c r="K40" i="122"/>
  <c r="K39" i="122"/>
  <c r="K38" i="122"/>
  <c r="K37" i="122"/>
  <c r="K36" i="122"/>
  <c r="K35" i="122"/>
  <c r="K34" i="122"/>
  <c r="K33" i="122"/>
  <c r="K32" i="122"/>
  <c r="K31" i="122"/>
  <c r="K30" i="122"/>
  <c r="K29" i="122"/>
  <c r="K28" i="122"/>
  <c r="K27" i="122"/>
  <c r="K26" i="122"/>
  <c r="K25" i="122"/>
  <c r="K24" i="122"/>
  <c r="K23" i="122"/>
  <c r="K22" i="122"/>
  <c r="K21" i="122"/>
  <c r="K20" i="122"/>
  <c r="K19" i="122"/>
  <c r="K18" i="122"/>
  <c r="K17" i="122"/>
  <c r="K16" i="122"/>
  <c r="K15" i="122"/>
  <c r="K14" i="122"/>
  <c r="N4" i="122" a="1"/>
  <c r="N4" i="122" s="1"/>
  <c r="B2" i="122"/>
  <c r="J2" i="133" a="1"/>
  <c r="J2" i="122" a="1"/>
  <c r="J2" i="129" a="1"/>
  <c r="P6" i="137" a="1"/>
  <c r="J2" i="123" a="1"/>
  <c r="J2" i="130" a="1"/>
  <c r="P6" i="131" a="1"/>
  <c r="J2" i="127" a="1"/>
  <c r="J2" i="128" a="1"/>
  <c r="P6" i="134" a="1"/>
  <c r="P6" i="136" a="1"/>
  <c r="P6" i="135" a="1"/>
  <c r="J2" i="124" a="1"/>
  <c r="J2" i="126" a="1"/>
  <c r="J2" i="132" a="1"/>
  <c r="J2" i="125" a="1"/>
  <c r="J95" i="131" l="1"/>
  <c r="I95" i="137"/>
  <c r="J95" i="137"/>
  <c r="I95" i="136"/>
  <c r="H95" i="136"/>
  <c r="J95" i="136"/>
  <c r="I95" i="135"/>
  <c r="H95" i="135"/>
  <c r="J95" i="135"/>
  <c r="I95" i="134"/>
  <c r="H95" i="134"/>
  <c r="J95" i="134"/>
  <c r="I95" i="133"/>
  <c r="H95" i="133"/>
  <c r="J95" i="133"/>
  <c r="I95" i="132"/>
  <c r="H95" i="132"/>
  <c r="J95" i="132"/>
  <c r="I95" i="130"/>
  <c r="H95" i="130"/>
  <c r="J95" i="130"/>
  <c r="I93" i="129"/>
  <c r="H93" i="129"/>
  <c r="J93" i="129"/>
  <c r="I95" i="128"/>
  <c r="H95" i="128"/>
  <c r="J95" i="128"/>
  <c r="I95" i="127"/>
  <c r="H95" i="127"/>
  <c r="J95" i="127"/>
  <c r="I95" i="126"/>
  <c r="H95" i="126"/>
  <c r="J95" i="126"/>
  <c r="I95" i="125"/>
  <c r="H95" i="125"/>
  <c r="J95" i="125"/>
  <c r="H95" i="124"/>
  <c r="I95" i="124"/>
  <c r="J95" i="124"/>
  <c r="I95" i="123"/>
  <c r="J95" i="123"/>
  <c r="H95" i="123"/>
  <c r="J95" i="122"/>
  <c r="I95" i="122"/>
  <c r="J2" i="132"/>
  <c r="J2" i="133"/>
  <c r="P6" i="137"/>
  <c r="J2" i="124"/>
  <c r="J2" i="128"/>
  <c r="P6" i="136"/>
  <c r="J2" i="129"/>
  <c r="J2" i="122"/>
  <c r="J2" i="126"/>
  <c r="J2" i="130"/>
  <c r="P6" i="134"/>
  <c r="J2" i="125"/>
  <c r="J2" i="123"/>
  <c r="J2" i="127"/>
  <c r="P6" i="131"/>
  <c r="P6" i="135"/>
  <c r="K11" i="67"/>
  <c r="K12" i="67"/>
  <c r="K13" i="67"/>
  <c r="K14" i="67"/>
  <c r="K15" i="67"/>
  <c r="K16" i="67"/>
  <c r="K17" i="67"/>
  <c r="K18" i="67"/>
  <c r="K19" i="67"/>
  <c r="K20" i="67"/>
  <c r="K21" i="67"/>
  <c r="K22" i="67"/>
  <c r="K23" i="67"/>
  <c r="K24" i="67"/>
  <c r="K25" i="67"/>
  <c r="K26" i="67"/>
  <c r="K27" i="67"/>
  <c r="K28" i="67"/>
  <c r="K29" i="67"/>
  <c r="K30" i="67"/>
  <c r="K31" i="67"/>
  <c r="K32" i="67"/>
  <c r="K33" i="67"/>
  <c r="K34" i="67"/>
  <c r="K35" i="67"/>
  <c r="K36" i="67"/>
  <c r="K37" i="67"/>
  <c r="K38" i="67"/>
  <c r="K39" i="67"/>
  <c r="K40" i="67"/>
  <c r="K41" i="67"/>
  <c r="K42" i="67"/>
  <c r="K43" i="67"/>
  <c r="K44" i="67"/>
  <c r="K45" i="67"/>
  <c r="K46" i="67"/>
  <c r="K47" i="67"/>
  <c r="K48" i="67"/>
  <c r="K49" i="67"/>
  <c r="K50" i="67"/>
  <c r="K51" i="67"/>
  <c r="K52" i="67"/>
  <c r="K53" i="67"/>
  <c r="K54" i="67"/>
  <c r="K55" i="67"/>
  <c r="K56" i="67"/>
  <c r="K57" i="67"/>
  <c r="K58" i="67"/>
  <c r="K59" i="67"/>
  <c r="K60" i="67"/>
  <c r="K61" i="67"/>
  <c r="K62" i="67"/>
  <c r="K63" i="67"/>
  <c r="K64" i="67"/>
  <c r="K65" i="67"/>
  <c r="K66" i="67"/>
  <c r="K67" i="67"/>
  <c r="K68" i="67"/>
  <c r="K69" i="67"/>
  <c r="K70" i="67"/>
  <c r="K71" i="67"/>
  <c r="K72" i="67"/>
  <c r="K73" i="67"/>
  <c r="K74" i="67"/>
  <c r="K75" i="67"/>
  <c r="K76" i="67"/>
  <c r="K77" i="67"/>
  <c r="K78" i="67"/>
  <c r="K79" i="67"/>
  <c r="K80" i="67"/>
  <c r="K81" i="67"/>
  <c r="K82" i="67"/>
  <c r="K83" i="67"/>
  <c r="K84" i="67"/>
  <c r="K85" i="67"/>
  <c r="K86" i="67"/>
  <c r="K87" i="67"/>
  <c r="K88" i="67"/>
  <c r="K89" i="67"/>
  <c r="K10" i="67"/>
  <c r="P6" i="129" a="1"/>
  <c r="J2" i="131" a="1"/>
  <c r="J2" i="135" a="1"/>
  <c r="P6" i="125" a="1"/>
  <c r="P6" i="127" a="1"/>
  <c r="P6" i="123" a="1"/>
  <c r="P6" i="130" a="1"/>
  <c r="P6" i="122" a="1"/>
  <c r="P6" i="132" a="1"/>
  <c r="P6" i="126" a="1"/>
  <c r="J2" i="134" a="1"/>
  <c r="J2" i="136" a="1"/>
  <c r="J2" i="137" a="1"/>
  <c r="P6" i="128" a="1"/>
  <c r="P6" i="124" a="1"/>
  <c r="P6" i="133" a="1"/>
  <c r="P6" i="129" l="1"/>
  <c r="P6" i="125"/>
  <c r="J2" i="137"/>
  <c r="J2" i="131"/>
  <c r="P6" i="133"/>
  <c r="P6" i="128"/>
  <c r="P6" i="124"/>
  <c r="J2" i="136"/>
  <c r="P6" i="132"/>
  <c r="P6" i="127"/>
  <c r="P6" i="123"/>
  <c r="J2" i="135"/>
  <c r="P6" i="130"/>
  <c r="P6" i="126"/>
  <c r="P6" i="122"/>
  <c r="J2" i="134"/>
  <c r="S11" i="108" a="1"/>
  <c r="S11" i="108" s="1"/>
  <c r="N6" i="67"/>
  <c r="G95" i="67" l="1"/>
  <c r="N3" i="108" l="1"/>
  <c r="I3" i="108"/>
  <c r="D3" i="108"/>
  <c r="Q3" i="108"/>
  <c r="L3" i="108"/>
  <c r="G3" i="108"/>
  <c r="B3" i="108"/>
  <c r="N4" i="67" l="1" a="1"/>
  <c r="N4" i="67" s="1"/>
  <c r="J2" i="67" a="1"/>
  <c r="J2" i="67" l="1"/>
  <c r="P6" i="67" a="1"/>
  <c r="P6" i="67" l="1"/>
  <c r="J95" i="67" l="1"/>
  <c r="I95" i="67"/>
  <c r="H95" i="67"/>
  <c r="J94" i="67"/>
  <c r="I94" i="67"/>
  <c r="H94" i="67"/>
  <c r="J93" i="67"/>
  <c r="I93" i="67"/>
  <c r="H93" i="67"/>
  <c r="J92" i="67"/>
  <c r="I92" i="67"/>
  <c r="H92" i="67"/>
  <c r="J91" i="67"/>
  <c r="I91" i="67"/>
  <c r="H91" i="67"/>
  <c r="F91" i="67" l="1"/>
  <c r="J96" i="67" s="1"/>
  <c r="H96" i="67" l="1"/>
  <c r="I96" i="67"/>
  <c r="B2" i="67" l="1"/>
</calcChain>
</file>

<file path=xl/comments1.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2.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3.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4.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5.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6.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7.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8.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9.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0.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1.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2.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3.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4.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5.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6.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comments17.xml><?xml version="1.0" encoding="utf-8"?>
<comments xmlns="http://schemas.openxmlformats.org/spreadsheetml/2006/main">
  <authors>
    <author>KM Chong</author>
    <author>K.M. Chong</author>
  </authors>
  <commentList>
    <comment ref="J6" authorId="0" shapeId="0">
      <text>
        <r>
          <rPr>
            <b/>
            <sz val="9"/>
            <color indexed="81"/>
            <rFont val="Tahoma"/>
            <family val="2"/>
          </rPr>
          <t>KM Chong:</t>
        </r>
        <r>
          <rPr>
            <sz val="9"/>
            <color indexed="81"/>
            <rFont val="Tahoma"/>
            <family val="2"/>
          </rPr>
          <t xml:space="preserve">
CW / EX component passing marks</t>
        </r>
      </text>
    </comment>
    <comment ref="K6" authorId="0" shapeId="0">
      <text>
        <r>
          <rPr>
            <b/>
            <sz val="9"/>
            <color indexed="81"/>
            <rFont val="Tahoma"/>
            <family val="2"/>
          </rPr>
          <t>KM Chong:</t>
        </r>
        <r>
          <rPr>
            <sz val="9"/>
            <color indexed="81"/>
            <rFont val="Tahoma"/>
            <family val="2"/>
          </rPr>
          <t xml:space="preserve">
Module Total passing marks</t>
        </r>
      </text>
    </comment>
    <comment ref="N6" authorId="1" shapeId="0">
      <text>
        <r>
          <rPr>
            <b/>
            <sz val="9"/>
            <color indexed="81"/>
            <rFont val="Tahoma"/>
            <family val="2"/>
          </rPr>
          <t>K.M. Chong:</t>
        </r>
        <r>
          <rPr>
            <sz val="9"/>
            <color indexed="81"/>
            <rFont val="Tahoma"/>
            <family val="2"/>
          </rPr>
          <t xml:space="preserve">
SAB sheet PDF file in .\SAB subfolder.</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<sst xmlns="http://schemas.openxmlformats.org/spreadsheetml/2006/main" count="2835" uniqueCount="524">
  <si>
    <t xml:space="preserve">Module Name: </t>
  </si>
  <si>
    <t xml:space="preserve">Module Code: </t>
  </si>
  <si>
    <t>Cw</t>
  </si>
  <si>
    <t>Ex</t>
  </si>
  <si>
    <t>Student Name (Surname, Forename)</t>
  </si>
  <si>
    <t>Exam</t>
  </si>
  <si>
    <t>CW</t>
  </si>
  <si>
    <t>Total</t>
  </si>
  <si>
    <t>Name</t>
  </si>
  <si>
    <t>CU-ID</t>
  </si>
  <si>
    <t>Check-Fail</t>
  </si>
  <si>
    <t>Student count:</t>
  </si>
  <si>
    <t>Means</t>
  </si>
  <si>
    <t>Standard deviation</t>
  </si>
  <si>
    <t>Maximum</t>
  </si>
  <si>
    <t>Minimum</t>
  </si>
  <si>
    <t>% passed</t>
  </si>
  <si>
    <t>CW-Fail</t>
  </si>
  <si>
    <t>CW-Max</t>
  </si>
  <si>
    <t>CW-Mean</t>
  </si>
  <si>
    <t>CW-SD</t>
  </si>
  <si>
    <t>CW-Min</t>
  </si>
  <si>
    <t>EX-Max</t>
  </si>
  <si>
    <t>EX-Mean</t>
  </si>
  <si>
    <t>EX-SD</t>
  </si>
  <si>
    <t>EX-Min</t>
  </si>
  <si>
    <t>EX-Fail</t>
  </si>
  <si>
    <t>MM-Max</t>
  </si>
  <si>
    <t>MM-Mean</t>
  </si>
  <si>
    <t>MM-SD</t>
  </si>
  <si>
    <t>MM-Min</t>
  </si>
  <si>
    <t>MM-Fail</t>
  </si>
  <si>
    <t>Student</t>
  </si>
  <si>
    <t>CU Student ID</t>
  </si>
  <si>
    <t>Steps to compare CU SAB data with lecturer marksheet data</t>
  </si>
  <si>
    <t>Steps to compare EO marks with lecturer marksheet data</t>
  </si>
  <si>
    <t>1. Copy "Mark sheets Compare yyyy-m_mmdd.xlsm" file to 7.SAB &amp; PAB folder.</t>
  </si>
  <si>
    <t xml:space="preserve">Programme: </t>
  </si>
  <si>
    <t>4. Key -99 marks in Total for deferment. Discuss with lecturer whether to upgrade marginal fail cases.</t>
  </si>
  <si>
    <t xml:space="preserve">  DO NOT DELETE!!!</t>
  </si>
  <si>
    <t>1. EO Excel file:</t>
  </si>
  <si>
    <t>Ver 2.6</t>
  </si>
  <si>
    <t>2. Copy lecturer marksheet data to columns M:R and reorganise to F:J</t>
  </si>
  <si>
    <t>3. Check for differences between columns A:D and columns F:I, highlighted in pink.</t>
  </si>
  <si>
    <t>6. Run macro [Copy marks] in Student Master List Excel file to transfer marks over.</t>
  </si>
  <si>
    <t>7. Check column K is stamped with "Mark copied". If not, marks is not transferred and needs a manual fix.</t>
  </si>
  <si>
    <t xml:space="preserve">   Copy data in marksheet file {Overview} sheet, columns C:H and paste value here.</t>
  </si>
  <si>
    <t>2. Create sub-folder \SAB and copy CU SAB sheets in PDF in it.</t>
  </si>
  <si>
    <t>4. Check for differences between column F:J and column M:Q, highlighted in pink.</t>
  </si>
  <si>
    <t>3. Key in SAB pdf filename in blue cell below and click [Import] button.</t>
  </si>
  <si>
    <t>Current path:</t>
  </si>
  <si>
    <t>Ver 2.7</t>
  </si>
  <si>
    <t>Version</t>
  </si>
  <si>
    <t>1. Embed pdftotext.exe.
2. Import all sheets in EO Excel file and create one sheet per module.</t>
  </si>
  <si>
    <t>5. Check case with CW or Exam &lt; 35/40 and Total &gt; 40, change Total to -ve.</t>
  </si>
  <si>
    <t>Change Log Description</t>
  </si>
  <si>
    <t>Main:</t>
  </si>
  <si>
    <t>Add 1:</t>
  </si>
  <si>
    <t>Add 2:</t>
  </si>
  <si>
    <t>Folder:</t>
  </si>
  <si>
    <t>1. Import MPU marks from TCMS Excel file, create sheet per subject.
2. Change passing marks to 50 for MPU subject.
3. Change passing marks for CW or EX component to 40 for Mode E.
4. Add in Combine PDF to One macro.</t>
  </si>
  <si>
    <t>Note: Macro to combine PDF files to one file is in {Total} sheet.</t>
  </si>
  <si>
    <t>If file not exist, cells is red</t>
  </si>
  <si>
    <t>Testing.pdf</t>
  </si>
  <si>
    <t>Testing3.pdf</t>
  </si>
  <si>
    <t>Testing2.pdf</t>
  </si>
  <si>
    <t>Ver 2.10</t>
  </si>
  <si>
    <t>Mark Sheet BCSCU APR 2021.xlsx</t>
  </si>
  <si>
    <t>BCSCU</t>
  </si>
  <si>
    <t>-</t>
  </si>
  <si>
    <t>COMPUTER ARCHITECTURE AND NETWORKS</t>
  </si>
  <si>
    <t>120CT</t>
  </si>
  <si>
    <t>CHIN SHI XUEN</t>
  </si>
  <si>
    <t>CHUA BOON KEAT</t>
  </si>
  <si>
    <t>DHARGINEE PRIYAA A/P YOKAENTHIRAN</t>
  </si>
  <si>
    <t>SHASITHARREN A/L BASKARAN</t>
  </si>
  <si>
    <t>INTRODUCTION TO COMPUTING</t>
  </si>
  <si>
    <t>121COM</t>
  </si>
  <si>
    <t>INTRODUCTION TO ALGORITHM</t>
  </si>
  <si>
    <t>122COM</t>
  </si>
  <si>
    <t>MYRA BELHARECHE</t>
  </si>
  <si>
    <t>LOGIC AND SETS</t>
  </si>
  <si>
    <t>124MS</t>
  </si>
  <si>
    <t>PROGAMMING, ALGORITHMS AND DATA STRUCTURES</t>
  </si>
  <si>
    <t>210CT</t>
  </si>
  <si>
    <t>CAROLINE TAN SONG NING</t>
  </si>
  <si>
    <t>CHEW WEN HUEY</t>
  </si>
  <si>
    <t>CHOK LING XIAO</t>
  </si>
  <si>
    <t>CHONG LI QUAN</t>
  </si>
  <si>
    <t>CHONG YONG YEE</t>
  </si>
  <si>
    <t>CHOO HOI LIN</t>
  </si>
  <si>
    <t>CHOON YU QIAN</t>
  </si>
  <si>
    <t>DARSHENDRAN A/L RAVINDRAN</t>
  </si>
  <si>
    <t>DEXTER BOH SONG QI</t>
  </si>
  <si>
    <t>ERIC MOK JIE WEN</t>
  </si>
  <si>
    <t>ERIN MEOW XUE WEI</t>
  </si>
  <si>
    <t>EUGENE OOI CHIN HOOI</t>
  </si>
  <si>
    <t>HENG WEN ZEN</t>
  </si>
  <si>
    <t>JEREMY WONG YAN ZHANG</t>
  </si>
  <si>
    <t>JEREMY YEOH WEI HAO</t>
  </si>
  <si>
    <t>KELVIN LIM VIN CHUEN</t>
  </si>
  <si>
    <t>KHOO HUI YING</t>
  </si>
  <si>
    <t>KHOR JING YANG</t>
  </si>
  <si>
    <t>KWAN YI CHIET</t>
  </si>
  <si>
    <t>LEE KEAN YEW</t>
  </si>
  <si>
    <t>LEE YI YING</t>
  </si>
  <si>
    <t>LIM YI NING</t>
  </si>
  <si>
    <t>LOH JIA LE</t>
  </si>
  <si>
    <t>LOKE CHUNG HUANG</t>
  </si>
  <si>
    <t>NG JIA SHENG</t>
  </si>
  <si>
    <t>NG MING ZE</t>
  </si>
  <si>
    <t>ONG QI PENG</t>
  </si>
  <si>
    <t>ONG WI SOON</t>
  </si>
  <si>
    <t>ONG ZI MING</t>
  </si>
  <si>
    <t>OOI CHIA YING</t>
  </si>
  <si>
    <t>OOI ISAAC</t>
  </si>
  <si>
    <t>POH KAI MING</t>
  </si>
  <si>
    <t>RAJA SHILAN A/L SIVA KUMAR</t>
  </si>
  <si>
    <t>ROBIN NG ZI YI</t>
  </si>
  <si>
    <t>RYAN KHOO TENG SHEEN</t>
  </si>
  <si>
    <t>SARRENE A/P MADIALAGAN</t>
  </si>
  <si>
    <t>SIM HONG KAI</t>
  </si>
  <si>
    <t>TAN CHEE KEONG</t>
  </si>
  <si>
    <t>TAN KUAN SHIN</t>
  </si>
  <si>
    <t>TAN SEOW SEAN</t>
  </si>
  <si>
    <t>TAN THIEN SHERN</t>
  </si>
  <si>
    <t>TAN WEI CONG</t>
  </si>
  <si>
    <t>TANUJA SRI A/P PUSKARAN</t>
  </si>
  <si>
    <t>TEH DI SERN</t>
  </si>
  <si>
    <t>TEOH JIA HUI</t>
  </si>
  <si>
    <t>TEOH TEIK SHERN</t>
  </si>
  <si>
    <t>TEOH YUN ZHENG</t>
  </si>
  <si>
    <t>TEONG WEI MING</t>
  </si>
  <si>
    <t>TERENCE CHAN HUAN LIN</t>
  </si>
  <si>
    <t>TOONG JYH YONG</t>
  </si>
  <si>
    <t>TYRUZ LIM WEI QUAN</t>
  </si>
  <si>
    <t>UNG WEI LIANG</t>
  </si>
  <si>
    <t>WONG KAI WERN</t>
  </si>
  <si>
    <t>WONG KHYE IAN</t>
  </si>
  <si>
    <t>YEOH CHOON HONG</t>
  </si>
  <si>
    <t>YEW KOK WEI</t>
  </si>
  <si>
    <t>AB</t>
  </si>
  <si>
    <t>resit ex</t>
  </si>
  <si>
    <t>NURUL AIMAN BINTI ABDUL RASHID</t>
  </si>
  <si>
    <t>DATA AND INFORMATION RETRIEVAL</t>
  </si>
  <si>
    <t>220CT</t>
  </si>
  <si>
    <t>LEE ZHI SHENG</t>
  </si>
  <si>
    <t>SOFTWARE ENGINEERING</t>
  </si>
  <si>
    <t>260CT</t>
  </si>
  <si>
    <t>JOYCE LIM XINJIE</t>
  </si>
  <si>
    <t>resit cw &amp; ex</t>
  </si>
  <si>
    <t>TECHNOLOGY AND ITS SOCIAL, LEGAL AND ETHICAL CONTEXT</t>
  </si>
  <si>
    <t>290COM</t>
  </si>
  <si>
    <t>EVENTS PROJECT MANAGEMENT</t>
  </si>
  <si>
    <t>A301SAM</t>
  </si>
  <si>
    <t>CHARMAYNE OOI LI SHAN</t>
  </si>
  <si>
    <t>CHEAH YING YING</t>
  </si>
  <si>
    <t>CHEE JIA HUA</t>
  </si>
  <si>
    <t>CHIAH KAH HIN</t>
  </si>
  <si>
    <t>CHUAH SIN NI</t>
  </si>
  <si>
    <t>CHUANG JING YEE</t>
  </si>
  <si>
    <t>DAMIEN PANG CHUN KIT</t>
  </si>
  <si>
    <t>DHARVIN CHANDRAN</t>
  </si>
  <si>
    <t>ERIC SHO HUAN JIE</t>
  </si>
  <si>
    <t>EVIN MAH CHIEN YOU</t>
  </si>
  <si>
    <t>HO HAW LIANG</t>
  </si>
  <si>
    <t>HONG ZHI REN</t>
  </si>
  <si>
    <t>JOESEN TIOW ZU XIAN</t>
  </si>
  <si>
    <t>KALJOSHUARAN A/L BARATHARAJAN</t>
  </si>
  <si>
    <t>KAM ZHUANG SHENG</t>
  </si>
  <si>
    <t>KHOO DIN JUN</t>
  </si>
  <si>
    <t>LAU KEI JUEN</t>
  </si>
  <si>
    <t>LIM LAI XIN</t>
  </si>
  <si>
    <t>LIM LIP JOO</t>
  </si>
  <si>
    <t>LIM LIP ZHI</t>
  </si>
  <si>
    <t>LIM PHEI HONG</t>
  </si>
  <si>
    <t>OOI JUN MING</t>
  </si>
  <si>
    <t>PEY XIN YI</t>
  </si>
  <si>
    <t>SOPHIA SOO HOO KAR MUN</t>
  </si>
  <si>
    <t>TAN AI WEI</t>
  </si>
  <si>
    <t>TEH YONG CHOON</t>
  </si>
  <si>
    <t>TENG WEI KANG</t>
  </si>
  <si>
    <t>THOR PEY GEN</t>
  </si>
  <si>
    <t>VICKY LEE</t>
  </si>
  <si>
    <t>YEOH CHING HUEI</t>
  </si>
  <si>
    <t>YEOH HONG YU</t>
  </si>
  <si>
    <t>YEONG CARMEN</t>
  </si>
  <si>
    <t>YONG JIA YEE</t>
  </si>
  <si>
    <t>AGILE DEVELOPMENT</t>
  </si>
  <si>
    <t>302CEM</t>
  </si>
  <si>
    <t>ANG YIT SOON</t>
  </si>
  <si>
    <t>BEH XUAN YONG</t>
  </si>
  <si>
    <t>FARM KAIXUAN</t>
  </si>
  <si>
    <t>HOE XUAN WEI</t>
  </si>
  <si>
    <t>JAYSON SAWAT</t>
  </si>
  <si>
    <t>LEE JUN XIAN</t>
  </si>
  <si>
    <t>LIM SING SENG</t>
  </si>
  <si>
    <t>LOGESWARI A/P SUGUMAR</t>
  </si>
  <si>
    <t>LUKAZ LIM WEI HWANG</t>
  </si>
  <si>
    <t>MANDEEP SINGH MANN</t>
  </si>
  <si>
    <t>TAN LIH SHEN</t>
  </si>
  <si>
    <t>TAN WEI JIAN</t>
  </si>
  <si>
    <t>TAN YOU SHENG</t>
  </si>
  <si>
    <t>VANESSA TAN MIN HUI</t>
  </si>
  <si>
    <t>INDIVIDUAL PROJECT</t>
  </si>
  <si>
    <t>303COM</t>
  </si>
  <si>
    <t>RAMESHVARAN A/L CHOMESVARAN</t>
  </si>
  <si>
    <t>YASSHMIN SHAH BINTI AYOOB KHAN</t>
  </si>
  <si>
    <t>HI-TECH ENTREPRENEURSHIP</t>
  </si>
  <si>
    <t>A305IAE</t>
  </si>
  <si>
    <t>ANG CHEE KEAT</t>
  </si>
  <si>
    <t>CHEE EZRA</t>
  </si>
  <si>
    <t>EDMOND KOAY WEI KUANG</t>
  </si>
  <si>
    <t>GOH CUNN KHAI</t>
  </si>
  <si>
    <t>GOH JIA CHWIT</t>
  </si>
  <si>
    <t>HO TEIK WEI</t>
  </si>
  <si>
    <t>HOO WENG SHANG</t>
  </si>
  <si>
    <t>JEREMY FAZIRUL IKMAL ONG</t>
  </si>
  <si>
    <t>KHOO ZHI QIN</t>
  </si>
  <si>
    <t>LAU KUAN SIN</t>
  </si>
  <si>
    <t>LEE FEI HONG</t>
  </si>
  <si>
    <t>LEE JUN SONG</t>
  </si>
  <si>
    <t>LEE WEN FUNG</t>
  </si>
  <si>
    <t>LEONG YONG PENG</t>
  </si>
  <si>
    <t>LEOW JIE HAN</t>
  </si>
  <si>
    <t>LIEW WEI YI</t>
  </si>
  <si>
    <t>LIM JIAHEE</t>
  </si>
  <si>
    <t>LOW YEE CHIN</t>
  </si>
  <si>
    <t>LU CHUN HUNG</t>
  </si>
  <si>
    <t>TAN ENG KHONG</t>
  </si>
  <si>
    <t>TAN HOE THENG</t>
  </si>
  <si>
    <t>VI ZHI ZHAN</t>
  </si>
  <si>
    <t>WANG HUI HAO</t>
  </si>
  <si>
    <t>YAZAN HAMDI QAWASMEH</t>
  </si>
  <si>
    <t>INTELLIGENT AGENTS</t>
  </si>
  <si>
    <t>310CT</t>
  </si>
  <si>
    <t>LIM YU TAI</t>
  </si>
  <si>
    <t>CONCURRENT AND REAL-TIME SYSTEM DESIGN</t>
  </si>
  <si>
    <t>370CT</t>
  </si>
  <si>
    <t>LEE JACK SEAN</t>
  </si>
  <si>
    <t>THEORETICAL ASPECTS OF COMPUTER SCIENCE</t>
  </si>
  <si>
    <t>380CT</t>
  </si>
  <si>
    <t>CHUAH YI HERN</t>
  </si>
  <si>
    <t>JOEL TAN VEE CHUAN</t>
  </si>
  <si>
    <t>OPEN-SOURCE DEVELOPMENT</t>
  </si>
  <si>
    <t>389COM</t>
  </si>
  <si>
    <t>Chin Shi Xuen</t>
  </si>
  <si>
    <t>Chua Boon Keat</t>
  </si>
  <si>
    <t>Dharginee Priyaa A/P Yokaenthiran</t>
  </si>
  <si>
    <t>Shasitharren A/L Baskaran</t>
  </si>
  <si>
    <t>Myra Belhareche</t>
  </si>
  <si>
    <t>CHEW Wen Huey</t>
  </si>
  <si>
    <t>CHOK Ling Xiao</t>
  </si>
  <si>
    <t>CHONG Li Quan</t>
  </si>
  <si>
    <t>Chong Yong Yee</t>
  </si>
  <si>
    <t>Choo Hoi Lin</t>
  </si>
  <si>
    <t>CHOON Yu Qian</t>
  </si>
  <si>
    <t>Darshendran A/l RAVINDRAN</t>
  </si>
  <si>
    <t>Dexter BOH Song Qi</t>
  </si>
  <si>
    <t>Eric MOK Jie Wen</t>
  </si>
  <si>
    <t>Erin Meow Xue Wei</t>
  </si>
  <si>
    <t>Eugene Ooi Chin Hooi</t>
  </si>
  <si>
    <t>Jeremy Yeoh Wei Hao</t>
  </si>
  <si>
    <t>Kelvin LIM Vin Chuen</t>
  </si>
  <si>
    <t>KHOO Hui Ying</t>
  </si>
  <si>
    <t>KHOR Jing Yang</t>
  </si>
  <si>
    <t>Kwan Yi Chiet</t>
  </si>
  <si>
    <t>Lee Kean Yew</t>
  </si>
  <si>
    <t>Lim Yi Ning</t>
  </si>
  <si>
    <t>LOH Jia Le</t>
  </si>
  <si>
    <t>Loke Chung Huang</t>
  </si>
  <si>
    <t>NG Jia Sheng</t>
  </si>
  <si>
    <t>NG Ming Ze</t>
  </si>
  <si>
    <t>ONG  Qi Peng</t>
  </si>
  <si>
    <t>Ong Wi Soon</t>
  </si>
  <si>
    <t>ONG Zi Ming</t>
  </si>
  <si>
    <t>OOI Chia Ying</t>
  </si>
  <si>
    <t>Ooi Isaac</t>
  </si>
  <si>
    <t>Raja Shilan A/l Siva Kumar</t>
  </si>
  <si>
    <t>Robin NG Zi Yi</t>
  </si>
  <si>
    <t>Ryan KHOO Teng Sheen</t>
  </si>
  <si>
    <t>Sarrene A/P Madialagan</t>
  </si>
  <si>
    <t>SIM Hong Kai</t>
  </si>
  <si>
    <t>TAN  Kuan Shin</t>
  </si>
  <si>
    <t>TAN Chee Keong</t>
  </si>
  <si>
    <t>TAN Seow Sean</t>
  </si>
  <si>
    <t>Tan Thien Shern</t>
  </si>
  <si>
    <t>TAN Wei Cong</t>
  </si>
  <si>
    <t>Tanuja Sri A/P Puskaran</t>
  </si>
  <si>
    <t>Teh Di Sern</t>
  </si>
  <si>
    <t>TEOH Jia Hui</t>
  </si>
  <si>
    <t>TEOH Yun Zheng</t>
  </si>
  <si>
    <t>Teong Wei Ming</t>
  </si>
  <si>
    <t>Toong Jyh Yong</t>
  </si>
  <si>
    <t>Tyruz Lim Wei Quan</t>
  </si>
  <si>
    <t>UNG Wei Liang</t>
  </si>
  <si>
    <t>WONG Khye Ian</t>
  </si>
  <si>
    <t>Yeoh Choon Hong</t>
  </si>
  <si>
    <t>Yew Kok Wei</t>
  </si>
  <si>
    <t>Mukunda Gauranga A/L Devandaran</t>
  </si>
  <si>
    <t>Nurul Aiman Binti Abdul Rashid</t>
  </si>
  <si>
    <t>Caroline TAN Song Ning</t>
  </si>
  <si>
    <t>HENG Wen Zen</t>
  </si>
  <si>
    <t>Jeremy  WONG Yan Zhang</t>
  </si>
  <si>
    <t>Joe ONG</t>
  </si>
  <si>
    <t>JOE ONG</t>
  </si>
  <si>
    <t>Joyce LIM Xinjie</t>
  </si>
  <si>
    <t>LEE Yi Ying</t>
  </si>
  <si>
    <t>POH Kai Ming</t>
  </si>
  <si>
    <t>TEOH  Teik Shern</t>
  </si>
  <si>
    <t>Terence CHAN Huan Lin</t>
  </si>
  <si>
    <t>WONG  Kai Wern</t>
  </si>
  <si>
    <t>MUKUNDA GAURANGA A/L DEVANDARAN</t>
  </si>
  <si>
    <t>Lee Zhi Sheng</t>
  </si>
  <si>
    <t>Charmayne Ooi Li Shan</t>
  </si>
  <si>
    <t>Cheah Ying Ying</t>
  </si>
  <si>
    <t>Chee Jia Hua</t>
  </si>
  <si>
    <t>Chiah Kah Hin</t>
  </si>
  <si>
    <t>Chuah Sin Ni</t>
  </si>
  <si>
    <t>Chuang Jing Yee</t>
  </si>
  <si>
    <t>Damien Pang Chun Kit</t>
  </si>
  <si>
    <t>Dharvin Chandran</t>
  </si>
  <si>
    <t>Eric Sho Huan Jie</t>
  </si>
  <si>
    <t>Evin Mah Chien You</t>
  </si>
  <si>
    <t>Ho Haw Liang</t>
  </si>
  <si>
    <t>Hong Zhi Ren</t>
  </si>
  <si>
    <t>Joesen Tiow Zu Xian</t>
  </si>
  <si>
    <t>Kaljoshuaran A/L Baratharajan</t>
  </si>
  <si>
    <t>Kam Zhuang Sheng</t>
  </si>
  <si>
    <t>Khoo Din Jun</t>
  </si>
  <si>
    <t>Lau Kei Juen</t>
  </si>
  <si>
    <t>Lim Lai Xin</t>
  </si>
  <si>
    <t>Lim Lip Joo</t>
  </si>
  <si>
    <t>Lim Lip Zhi</t>
  </si>
  <si>
    <t>Lim Phei Hong</t>
  </si>
  <si>
    <t>Ooi Jun Ming</t>
  </si>
  <si>
    <t>Pey Xin Yi</t>
  </si>
  <si>
    <t>Sophia Soo Hoo Kar Mun</t>
  </si>
  <si>
    <t>Tan Ai Wei</t>
  </si>
  <si>
    <t>Teh Yong Choon</t>
  </si>
  <si>
    <t>Teng Wei Kang</t>
  </si>
  <si>
    <t>Thor Pey Gen</t>
  </si>
  <si>
    <t>Vicky Lee</t>
  </si>
  <si>
    <t>Yeoh Ching Huei</t>
  </si>
  <si>
    <t>Yeoh Hong Yu</t>
  </si>
  <si>
    <t>Yeong Carmen</t>
  </si>
  <si>
    <t>Yong Jia Yee</t>
  </si>
  <si>
    <t>Cheng Tsu Jien</t>
  </si>
  <si>
    <t>Joel Tan Vee Chuan</t>
  </si>
  <si>
    <t>Lee Jun Xian</t>
  </si>
  <si>
    <t>Ooi Ee Shung</t>
  </si>
  <si>
    <t>Rameshvaran A/L Chomesvaran</t>
  </si>
  <si>
    <t>Yasshmin Shah Binti Ayoob Khan</t>
  </si>
  <si>
    <t>CHENG TSU JIEN</t>
  </si>
  <si>
    <t>OOI EE SHUNG</t>
  </si>
  <si>
    <t>Ang Chee Keat</t>
  </si>
  <si>
    <t>Chee Ezra</t>
  </si>
  <si>
    <t>Edmond Koay Wei Kuang</t>
  </si>
  <si>
    <t>Farm Kaixuan</t>
  </si>
  <si>
    <t>Goh Cunn Khai</t>
  </si>
  <si>
    <t>Goh Jia Chwit</t>
  </si>
  <si>
    <t>Ho Teik Wei</t>
  </si>
  <si>
    <t>Hoo Weng Shang</t>
  </si>
  <si>
    <t>Jeremy Fazirul Ikmal Ong</t>
  </si>
  <si>
    <t>Khoo Zhi Qin</t>
  </si>
  <si>
    <t>Lau Kuan Sin</t>
  </si>
  <si>
    <t>Lee Fei Hong</t>
  </si>
  <si>
    <t>Lee Jun Song</t>
  </si>
  <si>
    <t>Lee Wen Fung</t>
  </si>
  <si>
    <t>Leong Yong Peng</t>
  </si>
  <si>
    <t>Leow Jie Han</t>
  </si>
  <si>
    <t>Liew Wei Yi</t>
  </si>
  <si>
    <t>Lim Jiahee</t>
  </si>
  <si>
    <t>Lim Sing Seng</t>
  </si>
  <si>
    <t>Low Yee Chin</t>
  </si>
  <si>
    <t>Lu Chun Hung</t>
  </si>
  <si>
    <t>Mandeep Singh Mann</t>
  </si>
  <si>
    <t>Tan Eng Khong</t>
  </si>
  <si>
    <t>Tan Hoe Theng</t>
  </si>
  <si>
    <t>Tan Wei Jian</t>
  </si>
  <si>
    <t>Tan You Sheng</t>
  </si>
  <si>
    <t>Vi Zhi Zhan</t>
  </si>
  <si>
    <t>Wang Hui Hao</t>
  </si>
  <si>
    <t>Yazan Hamdi Qawasmeh</t>
  </si>
  <si>
    <t>Lim Yu Tai</t>
  </si>
  <si>
    <t>Lee Jack Sean</t>
  </si>
  <si>
    <t>Chuah Yi Hern</t>
  </si>
  <si>
    <t>Ang Yit Soon</t>
  </si>
  <si>
    <t>Beh Si Fan</t>
  </si>
  <si>
    <t>Beh Xuan Yong</t>
  </si>
  <si>
    <t>Hoe Xuan Wei</t>
  </si>
  <si>
    <t>Jayson Sawat</t>
  </si>
  <si>
    <t>Logeswari A/P Sugumar</t>
  </si>
  <si>
    <t>Lukaz Lim Wei Hwang</t>
  </si>
  <si>
    <t>Tan Lih Shen</t>
  </si>
  <si>
    <t>Vanessa Tan Min Hui</t>
  </si>
  <si>
    <t>BEH SI FAN</t>
  </si>
  <si>
    <t>Programme:</t>
  </si>
  <si>
    <t>Mark copied</t>
  </si>
  <si>
    <t>BASKARAN Shasitharren AL</t>
  </si>
  <si>
    <t>CHIN Shi Xuen</t>
  </si>
  <si>
    <t>CHUA Boon Keat</t>
  </si>
  <si>
    <t>YOKAENTHIRAN Dharginee Priyaa AP</t>
  </si>
  <si>
    <t>Diff</t>
  </si>
  <si>
    <t>BELHARECHE Myra</t>
  </si>
  <si>
    <t>DEVANDARAN Mukunda Gauranga AL</t>
  </si>
  <si>
    <t>ABDUL RASHID Nurul Aiman Binti</t>
  </si>
  <si>
    <t>CAROLINE TAN Song Ning</t>
  </si>
  <si>
    <t>CHONG Yong Yee</t>
  </si>
  <si>
    <t>CHOO Hoi Lin</t>
  </si>
  <si>
    <t>DEXTER BOH Song Qi</t>
  </si>
  <si>
    <t>ERIC MOK Jie Wen</t>
  </si>
  <si>
    <t>JEREMY WONG Yan Zhang</t>
  </si>
  <si>
    <t>JOYCE LIM Xinjie</t>
  </si>
  <si>
    <t>KELVIN LIM Vin Chuen</t>
  </si>
  <si>
    <t>KWAN Yi Chiet</t>
  </si>
  <si>
    <t>LEE Kean Yew</t>
  </si>
  <si>
    <t>LIM Tyruz Wei Quan</t>
  </si>
  <si>
    <t>LIM Yi Ning</t>
  </si>
  <si>
    <t>LOKE Chung Huang</t>
  </si>
  <si>
    <t>MADIALAGAN Sarrene AP</t>
  </si>
  <si>
    <t>MEOW Erin Xue Wei</t>
  </si>
  <si>
    <t>ONG Joe</t>
  </si>
  <si>
    <t>ONG Qi Peng</t>
  </si>
  <si>
    <t>ONG Wi Soon</t>
  </si>
  <si>
    <t>OOI Eugene</t>
  </si>
  <si>
    <t>OOI Issac</t>
  </si>
  <si>
    <t>PUSKARAN Tanuja Sri</t>
  </si>
  <si>
    <t>RAVINDRAN Darshendran Al</t>
  </si>
  <si>
    <t>ROBIN NG Zi Yi</t>
  </si>
  <si>
    <t>RYAN KHOO Teng Sheen</t>
  </si>
  <si>
    <t>SIVA KUMAR Raja Shilan AL</t>
  </si>
  <si>
    <t>TAN Kuan Shin</t>
  </si>
  <si>
    <t>TAN Thien Shern</t>
  </si>
  <si>
    <t>TEH Di Sern</t>
  </si>
  <si>
    <t>TEOH Teik Shern</t>
  </si>
  <si>
    <t>TEONG Wei Ming</t>
  </si>
  <si>
    <t>TERENCE CHAN Huan Lin</t>
  </si>
  <si>
    <t>TOONG Jyh Yong</t>
  </si>
  <si>
    <t>WONG Kai Wern</t>
  </si>
  <si>
    <t>YEOH Choon Hong</t>
  </si>
  <si>
    <t>YEOH Jeremy</t>
  </si>
  <si>
    <t>YEW Kok Wei</t>
  </si>
  <si>
    <t>LEE Zhi Sheng</t>
  </si>
  <si>
    <t>BARATHARAJAN Kaljoshuaran AL</t>
  </si>
  <si>
    <t>CHANDRAN Dharvin</t>
  </si>
  <si>
    <t>CHEAH Ying Ying</t>
  </si>
  <si>
    <t>CHEE Jia Hua</t>
  </si>
  <si>
    <t>CHIAH Kah Hin</t>
  </si>
  <si>
    <t>CHUAH Sin Ni</t>
  </si>
  <si>
    <t>CHUANG Jing Yee</t>
  </si>
  <si>
    <t>HO Haw Liang</t>
  </si>
  <si>
    <t>HONG Zhi Ren</t>
  </si>
  <si>
    <t>KAM Zhuang Sheng</t>
  </si>
  <si>
    <t>KAR MUN Sophia Soo Hoo</t>
  </si>
  <si>
    <t>KHOO Din Jun</t>
  </si>
  <si>
    <t>LAU Kei Juen</t>
  </si>
  <si>
    <t>LEE Vicky</t>
  </si>
  <si>
    <t>LIM Lai Xin</t>
  </si>
  <si>
    <t>LIM Lip Joo</t>
  </si>
  <si>
    <t>LIM Lip Zhi</t>
  </si>
  <si>
    <t>LIM Phei Hong</t>
  </si>
  <si>
    <t>MAH Evin Chien You</t>
  </si>
  <si>
    <t>OOI Charmayne Li Shan</t>
  </si>
  <si>
    <t>OOI Jun Ming</t>
  </si>
  <si>
    <t>PANG Damien Chun Kit</t>
  </si>
  <si>
    <t>PEY Xin Yi</t>
  </si>
  <si>
    <t>SHO Eric</t>
  </si>
  <si>
    <t>TAN Ai Wei</t>
  </si>
  <si>
    <t>TEH Yong Choon</t>
  </si>
  <si>
    <t>TENG Wei Kang</t>
  </si>
  <si>
    <t>THOR Pey Gen</t>
  </si>
  <si>
    <t>TIOW Joesen Zu Xian</t>
  </si>
  <si>
    <t>YEOH Ching Huei</t>
  </si>
  <si>
    <t>YEOH Hong Yu</t>
  </si>
  <si>
    <t>YEONG Carmen</t>
  </si>
  <si>
    <t>YONG Jia Yee</t>
  </si>
  <si>
    <t>ANG Yit Soon</t>
  </si>
  <si>
    <t>BEH Si Fan</t>
  </si>
  <si>
    <t>BEH Xuan Yong</t>
  </si>
  <si>
    <t>FARM Kaixuan</t>
  </si>
  <si>
    <t>HOE Xuan Wei</t>
  </si>
  <si>
    <t>LEE Jun Xian</t>
  </si>
  <si>
    <t>LIM Lukaz Wei Hwang</t>
  </si>
  <si>
    <t>LIM Sing Seng</t>
  </si>
  <si>
    <t>MANN Mandeep Singh</t>
  </si>
  <si>
    <t>SAWAT Jayson</t>
  </si>
  <si>
    <t>SUGUMAR Logeswari</t>
  </si>
  <si>
    <t>TAN Lih Shen</t>
  </si>
  <si>
    <t>TAN Vanessa Min Hui</t>
  </si>
  <si>
    <t>TAN Wei Jian</t>
  </si>
  <si>
    <t>TAN You Sheng</t>
  </si>
  <si>
    <t>AYOOB KHAN Yasshmin Shah</t>
  </si>
  <si>
    <t>CHENG Tsu Jien</t>
  </si>
  <si>
    <t>CHOMESVARAN Rameshvaran</t>
  </si>
  <si>
    <t>OOI Ee Shung</t>
  </si>
  <si>
    <t>TAN Joel Vee Chuan</t>
  </si>
  <si>
    <t>ANG Chee Keat</t>
  </si>
  <si>
    <t>CHEE Ezra</t>
  </si>
  <si>
    <t>GOH Cunn Khai</t>
  </si>
  <si>
    <t>GOH Jia Chwit</t>
  </si>
  <si>
    <t>HO Teik Wei</t>
  </si>
  <si>
    <t>HOO Weng Shang</t>
  </si>
  <si>
    <t>KHOO Zhi Qin</t>
  </si>
  <si>
    <t>KOAY Edmond Wei Kuang</t>
  </si>
  <si>
    <t>LAU Kuan Sin</t>
  </si>
  <si>
    <t>LEE Fei Hong</t>
  </si>
  <si>
    <t>LEE Jun Song</t>
  </si>
  <si>
    <t>LEE Wen Fung</t>
  </si>
  <si>
    <t>LEONG Yong Peng</t>
  </si>
  <si>
    <t>LEOW Jie Han</t>
  </si>
  <si>
    <t>LIEW Wei Yi</t>
  </si>
  <si>
    <t>LIM Jiahee</t>
  </si>
  <si>
    <t>LOW Yee Chin</t>
  </si>
  <si>
    <t>LU Chun Hung</t>
  </si>
  <si>
    <t>ONG Jeremy Fazirul Ikmal</t>
  </si>
  <si>
    <t>QAWASMEH Yazan Hamdi</t>
  </si>
  <si>
    <t>TAN Eng Khong</t>
  </si>
  <si>
    <t>TAN Hoe Theng</t>
  </si>
  <si>
    <t>VI Zhi Zhan</t>
  </si>
  <si>
    <t>WANG Hui Hao</t>
  </si>
  <si>
    <t>LIM Yu Tai</t>
  </si>
  <si>
    <t>LEE Jack Sean</t>
  </si>
  <si>
    <t>CHUAH Yi Hern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</si>
</sst>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0.0"/>
  </numFmts>
  <fonts count="39" x14ac:knownFonts="1">
    <font>
      <sz val="11"/>
      <color theme="1"/>
      <name val="Calibri"/>
      <family val="2"/>
      <scheme val="minor"/>
    </font>
    <font>
      <sz val="11"/>
      <color theme="1"/>
      <name val="Calibri"/>
      <family val="2"/>
      <scheme val="minor"/>
    </font>
    <font>
      <sz val="11"/>
      <name val="Calibri"/>
      <family val="2"/>
      <scheme val="minor"/>
    </font>
    <font>
      <sz val="11"/>
      <color theme="3"/>
      <name val="Calibri"/>
      <family val="2"/>
      <scheme val="minor"/>
    </font>
    <font>
      <b/>
      <sz val="11"/>
      <color theme="0"/>
      <name val="Calibri"/>
      <family val="2"/>
      <scheme val="minor"/>
    </font>
    <font>
      <sz val="11"/>
      <color theme="3" tint="-0.499984740745262"/>
      <name val="Calibri"/>
      <family val="2"/>
      <scheme val="minor"/>
    </font>
    <font>
      <sz val="10"/>
      <name val="Arial"/>
      <family val="2"/>
    </font>
    <font>
      <b/>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rgb="FF000000"/>
      <name val="Calibri"/>
      <family val="2"/>
    </font>
    <font>
      <b/>
      <sz val="11"/>
      <color rgb="FFFFFF00"/>
      <name val="Calibri"/>
      <family val="2"/>
      <scheme val="minor"/>
    </font>
    <font>
      <sz val="9"/>
      <color indexed="81"/>
      <name val="Tahoma"/>
      <family val="2"/>
    </font>
    <font>
      <b/>
      <sz val="9"/>
      <color indexed="81"/>
      <name val="Tahoma"/>
      <family val="2"/>
    </font>
    <font>
      <sz val="11"/>
      <color rgb="FF0000CC"/>
      <name val="Calibri"/>
      <family val="2"/>
      <scheme val="minor"/>
    </font>
    <font>
      <u/>
      <sz val="11"/>
      <color theme="10"/>
      <name val="Calibri"/>
      <family val="2"/>
      <scheme val="minor"/>
    </font>
    <font>
      <sz val="8"/>
      <color theme="1" tint="0.499984740745262"/>
      <name val="Calibri"/>
      <family val="2"/>
      <scheme val="minor"/>
    </font>
    <font>
      <b/>
      <sz val="11"/>
      <color rgb="FF0000CC"/>
      <name val="Calibri"/>
      <family val="2"/>
      <scheme val="minor"/>
    </font>
    <font>
      <b/>
      <sz val="11"/>
      <color rgb="FF990000"/>
      <name val="Calibri"/>
      <family val="2"/>
      <scheme val="minor"/>
    </font>
    <font>
      <sz val="11"/>
      <color rgb="FF990000"/>
      <name val="Calibri"/>
      <family val="2"/>
      <scheme val="minor"/>
    </font>
    <font>
      <b/>
      <sz val="11"/>
      <color rgb="FFFF0000"/>
      <name val="Calibri"/>
      <family val="2"/>
      <scheme val="minor"/>
    </font>
    <font>
      <sz val="11"/>
      <color theme="1" tint="0.499984740745262"/>
      <name val="Calibri"/>
      <family val="2"/>
      <scheme val="minor"/>
    </font>
    <font>
      <b/>
      <sz val="11"/>
      <color theme="3" tint="0.79998168889431442"/>
      <name val="Calibri"/>
      <family val="2"/>
      <scheme val="minor"/>
    </font>
    <font>
      <b/>
      <sz val="11"/>
      <name val="Calibri"/>
      <family val="2"/>
      <scheme val="minor"/>
    </font>
    <font>
      <sz val="8"/>
      <name val="Calibri"/>
      <family val="2"/>
      <scheme val="minor"/>
    </font>
    <font>
      <sz val="11"/>
      <color theme="1"/>
      <name val="Arial"/>
      <family val="2"/>
    </font>
    <font>
      <sz val="11"/>
      <color indexed="10"/>
      <name val="Calibri"/>
      <family val="2"/>
      <scheme val="minor"/>
    </font>
  </fonts>
  <fills count="38">
    <fill>
      <patternFill patternType="none"/>
    </fill>
    <fill>
      <patternFill patternType="gray125"/>
    </fill>
    <fill>
      <patternFill patternType="solid">
        <fgColor rgb="FFC0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bgColor indexed="64"/>
      </patternFill>
    </fill>
    <fill>
      <patternFill patternType="solid">
        <fgColor theme="8" tint="0.79998168889431442"/>
        <bgColor indexed="64"/>
      </patternFill>
    </fill>
    <fill>
      <patternFill patternType="solid">
        <fgColor theme="1" tint="0.249977111117893"/>
        <bgColor indexed="64"/>
      </patternFill>
    </fill>
    <fill>
      <patternFill patternType="solid">
        <fgColor rgb="FFB4FF96"/>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auto="1"/>
      </right>
      <top/>
      <bottom/>
      <diagonal/>
    </border>
    <border>
      <left style="thin">
        <color auto="1"/>
      </left>
      <right style="thin">
        <color auto="1"/>
      </right>
      <top/>
      <bottom/>
      <diagonal/>
    </border>
    <border>
      <left style="thin">
        <color auto="1"/>
      </left>
      <right/>
      <top/>
      <bottom/>
      <diagonal/>
    </border>
  </borders>
  <cellStyleXfs count="50">
    <xf numFmtId="0" fontId="0" fillId="0" borderId="0"/>
    <xf numFmtId="43" fontId="1" fillId="0" borderId="0" applyFont="0" applyFill="0" applyBorder="0" applyAlignment="0" applyProtection="0"/>
    <xf numFmtId="0" fontId="1" fillId="0" borderId="0"/>
    <xf numFmtId="0" fontId="6" fillId="0" borderId="0"/>
    <xf numFmtId="0" fontId="6" fillId="0" borderId="0"/>
    <xf numFmtId="43" fontId="1" fillId="0" borderId="0" applyFont="0" applyFill="0" applyBorder="0" applyAlignment="0" applyProtection="0"/>
    <xf numFmtId="0" fontId="8" fillId="0" borderId="0" applyNumberFormat="0" applyFill="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1" fillId="0" borderId="0" applyNumberFormat="0" applyFill="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9" applyNumberFormat="0" applyAlignment="0" applyProtection="0"/>
    <xf numFmtId="0" fontId="16" fillId="7" borderId="10" applyNumberFormat="0" applyAlignment="0" applyProtection="0"/>
    <xf numFmtId="0" fontId="17" fillId="7" borderId="9" applyNumberFormat="0" applyAlignment="0" applyProtection="0"/>
    <xf numFmtId="0" fontId="18" fillId="0" borderId="11" applyNumberFormat="0" applyFill="0" applyAlignment="0" applyProtection="0"/>
    <xf numFmtId="0" fontId="4" fillId="8" borderId="12" applyNumberFormat="0" applyAlignment="0" applyProtection="0"/>
    <xf numFmtId="0" fontId="19" fillId="0" borderId="0" applyNumberFormat="0" applyFill="0" applyBorder="0" applyAlignment="0" applyProtection="0"/>
    <xf numFmtId="0" fontId="1" fillId="9" borderId="13" applyNumberFormat="0" applyFont="0" applyAlignment="0" applyProtection="0"/>
    <xf numFmtId="0" fontId="20" fillId="0" borderId="0" applyNumberFormat="0" applyFill="0" applyBorder="0" applyAlignment="0" applyProtection="0"/>
    <xf numFmtId="0" fontId="7" fillId="0" borderId="14" applyNumberFormat="0" applyFill="0" applyAlignment="0" applyProtection="0"/>
    <xf numFmtId="0" fontId="2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21" fillId="13" borderId="0" applyNumberFormat="0" applyBorder="0" applyAlignment="0" applyProtection="0"/>
    <xf numFmtId="0" fontId="2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33" borderId="0" applyNumberFormat="0" applyBorder="0" applyAlignment="0" applyProtection="0"/>
    <xf numFmtId="9" fontId="1" fillId="0" borderId="0" applyFont="0" applyFill="0" applyBorder="0" applyAlignment="0" applyProtection="0"/>
    <xf numFmtId="0" fontId="27" fillId="0" borderId="0" applyNumberFormat="0" applyFill="0" applyBorder="0" applyAlignment="0" applyProtection="0"/>
    <xf numFmtId="0" fontId="37" fillId="0" borderId="0"/>
  </cellStyleXfs>
  <cellXfs count="86">
    <xf numFmtId="0" fontId="0" fillId="0" borderId="0" xfId="0"/>
    <xf numFmtId="0" fontId="0" fillId="0" borderId="1" xfId="0" applyBorder="1"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horizontal="center" vertical="center"/>
    </xf>
    <xf numFmtId="0" fontId="7" fillId="0" borderId="0" xfId="0" applyFont="1" applyAlignment="1">
      <alignment vertical="center"/>
    </xf>
    <xf numFmtId="0" fontId="2" fillId="0" borderId="0" xfId="0" applyFont="1" applyBorder="1" applyAlignment="1">
      <alignment vertical="center"/>
    </xf>
    <xf numFmtId="0" fontId="0" fillId="0" borderId="0" xfId="0" applyFill="1" applyBorder="1" applyAlignment="1">
      <alignment vertical="center"/>
    </xf>
    <xf numFmtId="0" fontId="4" fillId="2" borderId="1" xfId="0" applyFont="1" applyFill="1" applyBorder="1" applyAlignment="1">
      <alignment horizontal="center" vertical="center"/>
    </xf>
    <xf numFmtId="0" fontId="5" fillId="0" borderId="1" xfId="0" applyFont="1" applyBorder="1" applyAlignment="1">
      <alignment vertical="center"/>
    </xf>
    <xf numFmtId="2" fontId="5" fillId="0" borderId="1" xfId="0" applyNumberFormat="1" applyFont="1" applyBorder="1" applyAlignment="1">
      <alignment vertical="center"/>
    </xf>
    <xf numFmtId="2" fontId="2" fillId="0" borderId="1" xfId="1" applyNumberFormat="1" applyFont="1" applyFill="1" applyBorder="1" applyAlignment="1">
      <alignment vertical="center"/>
    </xf>
    <xf numFmtId="2" fontId="0" fillId="0" borderId="1" xfId="0" applyNumberFormat="1" applyBorder="1" applyAlignment="1">
      <alignment vertical="center"/>
    </xf>
    <xf numFmtId="0" fontId="0" fillId="0" borderId="3"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5" xfId="0" applyFill="1" applyBorder="1" applyAlignment="1">
      <alignment vertical="center"/>
    </xf>
    <xf numFmtId="0" fontId="0" fillId="0" borderId="4" xfId="0" applyFill="1" applyBorder="1" applyAlignment="1">
      <alignment vertical="center"/>
    </xf>
    <xf numFmtId="0" fontId="5" fillId="0" borderId="1" xfId="0" applyFont="1" applyBorder="1" applyAlignment="1">
      <alignment horizontal="center" vertical="center"/>
    </xf>
    <xf numFmtId="0" fontId="0" fillId="0" borderId="1" xfId="0" applyBorder="1" applyAlignment="1">
      <alignment horizontal="center" vertical="center"/>
    </xf>
    <xf numFmtId="0" fontId="7" fillId="0" borderId="1" xfId="0" applyFont="1" applyBorder="1" applyAlignment="1">
      <alignment vertical="center"/>
    </xf>
    <xf numFmtId="0" fontId="0" fillId="0" borderId="0" xfId="0" applyFill="1" applyAlignment="1">
      <alignment horizontal="left" vertical="center"/>
    </xf>
    <xf numFmtId="0" fontId="7" fillId="0" borderId="0" xfId="0" applyFont="1" applyFill="1" applyAlignment="1">
      <alignment horizontal="left" vertical="center"/>
    </xf>
    <xf numFmtId="164" fontId="0" fillId="0" borderId="0" xfId="0" applyNumberFormat="1"/>
    <xf numFmtId="0" fontId="0" fillId="0" borderId="0" xfId="47" applyNumberFormat="1" applyFont="1" applyAlignment="1">
      <alignment horizontal="center"/>
    </xf>
    <xf numFmtId="0" fontId="0" fillId="0" borderId="0" xfId="0" applyNumberFormat="1" applyAlignment="1">
      <alignment horizontal="center"/>
    </xf>
    <xf numFmtId="0" fontId="4" fillId="2" borderId="0" xfId="0" applyFont="1" applyFill="1" applyAlignment="1">
      <alignment horizontal="center"/>
    </xf>
    <xf numFmtId="164" fontId="4" fillId="2" borderId="0" xfId="0" applyNumberFormat="1" applyFont="1" applyFill="1" applyAlignment="1">
      <alignment horizontal="center"/>
    </xf>
    <xf numFmtId="0" fontId="4" fillId="2" borderId="16" xfId="0" applyFont="1" applyFill="1" applyBorder="1" applyAlignment="1">
      <alignment horizontal="center"/>
    </xf>
    <xf numFmtId="0" fontId="7" fillId="0" borderId="15" xfId="0" applyFont="1" applyBorder="1"/>
    <xf numFmtId="0" fontId="0" fillId="0" borderId="16" xfId="0" applyBorder="1" applyAlignment="1">
      <alignment horizontal="center"/>
    </xf>
    <xf numFmtId="164" fontId="0" fillId="0" borderId="17" xfId="0" applyNumberFormat="1" applyBorder="1"/>
    <xf numFmtId="0" fontId="23" fillId="2" borderId="17" xfId="0" applyFont="1" applyFill="1" applyBorder="1" applyAlignment="1">
      <alignment horizontal="center"/>
    </xf>
    <xf numFmtId="164" fontId="23" fillId="2" borderId="0" xfId="0" applyNumberFormat="1" applyFont="1" applyFill="1" applyBorder="1" applyAlignment="1">
      <alignment horizontal="center"/>
    </xf>
    <xf numFmtId="0" fontId="23" fillId="2" borderId="15" xfId="0" applyNumberFormat="1" applyFont="1" applyFill="1" applyBorder="1" applyAlignment="1">
      <alignment horizontal="center"/>
    </xf>
    <xf numFmtId="164" fontId="0" fillId="0" borderId="0" xfId="0" applyNumberFormat="1" applyBorder="1"/>
    <xf numFmtId="0" fontId="0" fillId="0" borderId="15" xfId="47" applyNumberFormat="1" applyFont="1" applyBorder="1" applyAlignment="1">
      <alignment horizontal="center"/>
    </xf>
    <xf numFmtId="0" fontId="0" fillId="0" borderId="15" xfId="0" applyNumberFormat="1" applyBorder="1" applyAlignment="1">
      <alignment horizontal="center"/>
    </xf>
    <xf numFmtId="0" fontId="4" fillId="2" borderId="15" xfId="0" applyNumberFormat="1" applyFont="1" applyFill="1" applyBorder="1" applyAlignment="1">
      <alignment horizontal="center"/>
    </xf>
    <xf numFmtId="0" fontId="7" fillId="2" borderId="15" xfId="0" applyFont="1" applyFill="1" applyBorder="1" applyAlignment="1">
      <alignment horizontal="center"/>
    </xf>
    <xf numFmtId="2" fontId="0" fillId="0" borderId="0" xfId="0" applyNumberFormat="1" applyAlignment="1">
      <alignment vertical="center"/>
    </xf>
    <xf numFmtId="0" fontId="0" fillId="0" borderId="1" xfId="0" applyFont="1" applyFill="1" applyBorder="1" applyAlignment="1">
      <alignment horizontal="center" vertical="center"/>
    </xf>
    <xf numFmtId="0" fontId="0" fillId="0" borderId="1" xfId="0" applyFill="1" applyBorder="1" applyAlignment="1">
      <alignment vertical="center"/>
    </xf>
    <xf numFmtId="0" fontId="0" fillId="0" borderId="2" xfId="0" applyFill="1" applyBorder="1" applyAlignment="1">
      <alignment vertical="center"/>
    </xf>
    <xf numFmtId="2" fontId="3" fillId="0" borderId="0" xfId="0" applyNumberFormat="1" applyFont="1" applyBorder="1" applyAlignment="1">
      <alignment vertical="center"/>
    </xf>
    <xf numFmtId="2" fontId="4" fillId="2" borderId="1" xfId="0" applyNumberFormat="1" applyFont="1" applyFill="1" applyBorder="1" applyAlignment="1">
      <alignment horizontal="center" vertical="center"/>
    </xf>
    <xf numFmtId="0" fontId="4" fillId="34" borderId="1" xfId="0" applyFont="1" applyFill="1" applyBorder="1" applyAlignment="1">
      <alignment horizontal="center" vertical="center"/>
    </xf>
    <xf numFmtId="0" fontId="26" fillId="0" borderId="0" xfId="0" applyFont="1" applyAlignment="1">
      <alignment vertical="center"/>
    </xf>
    <xf numFmtId="0" fontId="27" fillId="0" borderId="0" xfId="48" applyAlignment="1">
      <alignment vertical="center"/>
    </xf>
    <xf numFmtId="9" fontId="0" fillId="0" borderId="0" xfId="47" applyFont="1" applyAlignment="1">
      <alignment vertical="center"/>
    </xf>
    <xf numFmtId="1" fontId="0" fillId="0" borderId="0" xfId="0" applyNumberFormat="1" applyAlignment="1">
      <alignment vertical="center"/>
    </xf>
    <xf numFmtId="0" fontId="0" fillId="35" borderId="0" xfId="0" applyFill="1" applyAlignment="1">
      <alignment vertical="center"/>
    </xf>
    <xf numFmtId="0" fontId="28" fillId="0" borderId="0" xfId="0" applyFont="1" applyAlignment="1">
      <alignment vertical="center"/>
    </xf>
    <xf numFmtId="2" fontId="28" fillId="0" borderId="0" xfId="0" applyNumberFormat="1" applyFont="1" applyAlignment="1">
      <alignment vertical="center"/>
    </xf>
    <xf numFmtId="0" fontId="29" fillId="0" borderId="0" xfId="0" applyFont="1" applyAlignment="1">
      <alignment vertical="center"/>
    </xf>
    <xf numFmtId="2" fontId="26" fillId="0" borderId="0" xfId="0" applyNumberFormat="1" applyFont="1" applyAlignment="1">
      <alignment vertical="center"/>
    </xf>
    <xf numFmtId="0" fontId="4" fillId="36" borderId="1" xfId="0" applyFont="1" applyFill="1" applyBorder="1" applyAlignment="1">
      <alignment horizontal="left" vertical="center"/>
    </xf>
    <xf numFmtId="0" fontId="4" fillId="36" borderId="1" xfId="0" applyFont="1" applyFill="1" applyBorder="1" applyAlignment="1">
      <alignment horizontal="center" vertical="center"/>
    </xf>
    <xf numFmtId="0" fontId="30" fillId="0" borderId="0" xfId="0" applyFont="1" applyAlignment="1">
      <alignment vertical="center"/>
    </xf>
    <xf numFmtId="0" fontId="31" fillId="0" borderId="0" xfId="0" applyFont="1" applyAlignment="1">
      <alignment vertical="center"/>
    </xf>
    <xf numFmtId="0" fontId="32" fillId="0" borderId="0" xfId="0" applyFont="1" applyAlignment="1">
      <alignment vertical="center"/>
    </xf>
    <xf numFmtId="0" fontId="33" fillId="0" borderId="0" xfId="0" applyFont="1" applyAlignment="1">
      <alignment vertical="center"/>
    </xf>
    <xf numFmtId="0" fontId="34" fillId="2" borderId="17" xfId="0" applyFont="1" applyFill="1" applyBorder="1" applyAlignment="1">
      <alignment horizontal="center"/>
    </xf>
    <xf numFmtId="164" fontId="34" fillId="2" borderId="0" xfId="0" applyNumberFormat="1" applyFont="1" applyFill="1" applyAlignment="1">
      <alignment horizontal="center"/>
    </xf>
    <xf numFmtId="0" fontId="34" fillId="2" borderId="0" xfId="0" applyNumberFormat="1" applyFont="1" applyFill="1" applyAlignment="1">
      <alignment horizontal="center"/>
    </xf>
    <xf numFmtId="0" fontId="32" fillId="0" borderId="0" xfId="0" applyFont="1"/>
    <xf numFmtId="0" fontId="7" fillId="0" borderId="0" xfId="0" applyFont="1" applyAlignment="1">
      <alignment horizontal="center"/>
    </xf>
    <xf numFmtId="0" fontId="0" fillId="0" borderId="0" xfId="0" applyAlignment="1">
      <alignment horizontal="left" vertical="top" wrapText="1"/>
    </xf>
    <xf numFmtId="0" fontId="0" fillId="0" borderId="0" xfId="0" applyAlignment="1">
      <alignment horizontal="center" vertical="top"/>
    </xf>
    <xf numFmtId="0" fontId="0" fillId="0" borderId="0" xfId="0" applyAlignment="1">
      <alignment horizontal="center"/>
    </xf>
    <xf numFmtId="1" fontId="0" fillId="0" borderId="0" xfId="0" applyNumberFormat="1" applyAlignment="1">
      <alignment horizontal="center" vertical="center"/>
    </xf>
    <xf numFmtId="0" fontId="33" fillId="0" borderId="0" xfId="0" applyFont="1"/>
    <xf numFmtId="0" fontId="2" fillId="0" borderId="0" xfId="0" applyFont="1"/>
    <xf numFmtId="0" fontId="35" fillId="0" borderId="0" xfId="0" applyFont="1"/>
    <xf numFmtId="0" fontId="32" fillId="0" borderId="0" xfId="0" applyFont="1" applyAlignment="1">
      <alignment horizontal="left"/>
    </xf>
    <xf numFmtId="0" fontId="33" fillId="0" borderId="0" xfId="0" applyFont="1" applyAlignment="1">
      <alignment horizontal="center" vertical="center"/>
    </xf>
    <xf numFmtId="2" fontId="5" fillId="37" borderId="1" xfId="0" applyNumberFormat="1" applyFont="1" applyFill="1" applyBorder="1" applyAlignment="1">
      <alignment vertical="center"/>
    </xf>
    <xf numFmtId="2" fontId="0" fillId="37" borderId="1" xfId="0" applyNumberFormat="1" applyFill="1" applyBorder="1" applyAlignment="1">
      <alignment vertical="center"/>
    </xf>
    <xf numFmtId="0" fontId="7" fillId="0" borderId="0" xfId="0" applyFont="1" applyAlignment="1">
      <alignment horizontal="center" vertical="top"/>
    </xf>
    <xf numFmtId="0" fontId="5" fillId="0" borderId="1" xfId="0" applyFont="1" applyBorder="1" applyAlignment="1">
      <alignment horizontal="center" vertical="center" wrapText="1"/>
    </xf>
    <xf numFmtId="0" fontId="0" fillId="0" borderId="1" xfId="0" applyFill="1" applyBorder="1" applyAlignment="1">
      <alignment horizontal="center" vertical="center"/>
    </xf>
    <xf numFmtId="2" fontId="4" fillId="34" borderId="1" xfId="0" applyNumberFormat="1" applyFont="1" applyFill="1" applyBorder="1" applyAlignment="1">
      <alignment horizontal="center" vertical="center"/>
    </xf>
    <xf numFmtId="2" fontId="0" fillId="0" borderId="1" xfId="0" applyNumberFormat="1" applyFill="1" applyBorder="1" applyAlignment="1">
      <alignment vertical="center"/>
    </xf>
    <xf numFmtId="2" fontId="32" fillId="0" borderId="0" xfId="0" applyNumberFormat="1" applyFont="1" applyAlignment="1">
      <alignment vertical="center"/>
    </xf>
    <xf numFmtId="2" fontId="2" fillId="0" borderId="0" xfId="0" applyNumberFormat="1" applyFont="1" applyAlignment="1">
      <alignment vertical="center"/>
    </xf>
    <xf numFmtId="2" fontId="38" fillId="0" borderId="0" xfId="0" applyNumberFormat="1" applyFont="1" applyAlignment="1">
      <alignment vertical="center"/>
    </xf>
  </cellXfs>
  <cellStyles count="50">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omma" xfId="1" builtinId="3"/>
    <cellStyle name="Comma 2" xfId="5"/>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48" builtinId="8"/>
    <cellStyle name="Input" xfId="14" builtinId="20" customBuiltin="1"/>
    <cellStyle name="Linked Cell" xfId="17" builtinId="24" customBuiltin="1"/>
    <cellStyle name="Neutral" xfId="13" builtinId="28" customBuiltin="1"/>
    <cellStyle name="Normal" xfId="0" builtinId="0"/>
    <cellStyle name="Normal 2" xfId="4"/>
    <cellStyle name="Normal 21" xfId="2"/>
    <cellStyle name="Normal 22" xfId="3"/>
    <cellStyle name="Normal 3" xfId="49"/>
    <cellStyle name="Note" xfId="20" builtinId="10" customBuiltin="1"/>
    <cellStyle name="Output" xfId="15" builtinId="21" customBuiltin="1"/>
    <cellStyle name="Percent" xfId="47" builtinId="5"/>
    <cellStyle name="Title" xfId="6" builtinId="15" customBuiltin="1"/>
    <cellStyle name="Total" xfId="22" builtinId="25" customBuiltin="1"/>
    <cellStyle name="Warning Text" xfId="19" builtinId="11" customBuiltin="1"/>
  </cellStyles>
  <dxfs count="118">
    <dxf>
      <fill>
        <patternFill>
          <bgColor rgb="FFFFC8C8"/>
        </patternFill>
      </fill>
    </dxf>
    <dxf>
      <fill>
        <patternFill>
          <bgColor rgb="FFB4FF96"/>
        </patternFill>
      </fill>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ill>
        <patternFill>
          <bgColor rgb="FFFFC8C8"/>
        </patternFill>
      </fill>
    </dxf>
    <dxf>
      <fill>
        <patternFill>
          <bgColor rgb="FFB4FF96"/>
        </patternFill>
      </fill>
    </dxf>
    <dxf>
      <font>
        <b/>
        <i val="0"/>
        <color rgb="FFFF0000"/>
      </font>
    </dxf>
    <dxf>
      <fill>
        <patternFill>
          <bgColor rgb="FFFFC8C8"/>
        </patternFill>
      </fill>
    </dxf>
    <dxf>
      <fill>
        <patternFill>
          <bgColor rgb="FFB4FF96"/>
        </patternFill>
      </fill>
    </dxf>
    <dxf>
      <font>
        <b/>
        <i val="0"/>
        <color rgb="FFFF0000"/>
      </font>
    </dxf>
    <dxf>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bgColor rgb="FFFF0000"/>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rgb="FFD9E2F3"/>
          <bgColor rgb="FFD9E2F3"/>
        </patternFill>
      </fill>
    </dxf>
    <dxf>
      <fill>
        <patternFill patternType="solid">
          <fgColor rgb="FFB4C6E7"/>
          <bgColor rgb="FFB4C6E7"/>
        </patternFill>
      </fill>
    </dxf>
    <dxf>
      <fill>
        <patternFill patternType="solid">
          <fgColor theme="8"/>
          <bgColor theme="8"/>
        </patternFill>
      </fill>
    </dxf>
    <dxf>
      <fill>
        <patternFill patternType="solid">
          <fgColor theme="8"/>
          <bgColor theme="8"/>
        </patternFill>
      </fill>
    </dxf>
  </dxfs>
  <tableStyles count="9" defaultTableStyle="TableStyleMedium2" defaultPivotStyle="PivotStyleLight16">
    <tableStyle name="Overview-style" pivot="0" count="4">
      <tableStyleElement type="headerRow" dxfId="117"/>
      <tableStyleElement type="totalRow" dxfId="116"/>
      <tableStyleElement type="firstRowStripe" dxfId="115"/>
      <tableStyleElement type="secondRowStripe" dxfId="114"/>
    </tableStyle>
    <tableStyle name="Overview-style 2" pivot="0" count="3">
      <tableStyleElement type="headerRow" dxfId="113"/>
      <tableStyleElement type="firstRowStripe" dxfId="112"/>
      <tableStyleElement type="secondRowStripe" dxfId="111"/>
    </tableStyle>
    <tableStyle name="Overview-style 3" pivot="0" count="3">
      <tableStyleElement type="headerRow" dxfId="110"/>
      <tableStyleElement type="firstRowStripe" dxfId="109"/>
      <tableStyleElement type="secondRowStripe" dxfId="108"/>
    </tableStyle>
    <tableStyle name="Coursework-style" pivot="0" count="4">
      <tableStyleElement type="headerRow" dxfId="107"/>
      <tableStyleElement type="totalRow" dxfId="106"/>
      <tableStyleElement type="firstRowStripe" dxfId="105"/>
      <tableStyleElement type="secondRowStripe" dxfId="104"/>
    </tableStyle>
    <tableStyle name="Coursework-style 2" pivot="0" count="3">
      <tableStyleElement type="headerRow" dxfId="103"/>
      <tableStyleElement type="firstRowStripe" dxfId="102"/>
      <tableStyleElement type="secondRowStripe" dxfId="101"/>
    </tableStyle>
    <tableStyle name="Coursework-style 3" pivot="0" count="3">
      <tableStyleElement type="headerRow" dxfId="100"/>
      <tableStyleElement type="firstRowStripe" dxfId="99"/>
      <tableStyleElement type="secondRowStripe" dxfId="98"/>
    </tableStyle>
    <tableStyle name="Exam-style" pivot="0" count="4">
      <tableStyleElement type="headerRow" dxfId="97"/>
      <tableStyleElement type="totalRow" dxfId="96"/>
      <tableStyleElement type="firstRowStripe" dxfId="95"/>
      <tableStyleElement type="secondRowStripe" dxfId="94"/>
    </tableStyle>
    <tableStyle name="Exam-style 2" pivot="0" count="3">
      <tableStyleElement type="headerRow" dxfId="93"/>
      <tableStyleElement type="firstRowStripe" dxfId="92"/>
      <tableStyleElement type="secondRowStripe" dxfId="91"/>
    </tableStyle>
    <tableStyle name="Exam-style 3" pivot="0" count="3">
      <tableStyleElement type="headerRow" dxfId="90"/>
      <tableStyleElement type="firstRowStripe" dxfId="89"/>
      <tableStyleElement type="secondRowStripe" dxfId="88"/>
    </tableStyle>
  </tableStyles>
  <colors>
    <mruColors>
      <color rgb="FFB4FF96"/>
      <color rgb="FFFF0000"/>
      <color rgb="FF0000CC"/>
      <color rgb="FF990000"/>
      <color rgb="FF009900"/>
      <color rgb="FFB4DC8C"/>
      <color rgb="FFCCFFFF"/>
      <color rgb="FF000066"/>
      <color rgb="FF99FF99"/>
      <color rgb="FFFFC9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00000000-0008-0000-0000-000001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xdr:row>
          <xdr:rowOff>0</xdr:rowOff>
        </xdr:from>
        <xdr:to>
          <xdr:col>20</xdr:col>
          <xdr:colOff>0</xdr:colOff>
          <xdr:row>3</xdr:row>
          <xdr:rowOff>0</xdr:rowOff>
        </xdr:to>
        <xdr:sp macro="" textlink="">
          <xdr:nvSpPr>
            <xdr:cNvPr id="52226" name="Object 2" hidden="1">
              <a:extLst>
                <a:ext uri="{63B3BB69-23CF-44E3-9099-C40C66FF867C}">
                  <a14:compatExt spid="_x0000_s52226"/>
                </a:ext>
                <a:ext uri="{FF2B5EF4-FFF2-40B4-BE49-F238E27FC236}">
                  <a16:creationId xmlns:a16="http://schemas.microsoft.com/office/drawing/2014/main" id="{00000000-0008-0000-0000-000002C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0</xdr:colOff>
          <xdr:row>5</xdr:row>
          <xdr:rowOff>0</xdr:rowOff>
        </xdr:from>
        <xdr:to>
          <xdr:col>20</xdr:col>
          <xdr:colOff>0</xdr:colOff>
          <xdr:row>6</xdr:row>
          <xdr:rowOff>0</xdr:rowOff>
        </xdr:to>
        <xdr:sp macro="" textlink="">
          <xdr:nvSpPr>
            <xdr:cNvPr id="52227" name="Button 3" hidden="1">
              <a:extLst>
                <a:ext uri="{63B3BB69-23CF-44E3-9099-C40C66FF867C}">
                  <a14:compatExt spid="_x0000_s52227"/>
                </a:ext>
                <a:ext uri="{FF2B5EF4-FFF2-40B4-BE49-F238E27FC236}">
                  <a16:creationId xmlns:a16="http://schemas.microsoft.com/office/drawing/2014/main" id="{00000000-0008-0000-0000-000003C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Combine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17418" name="Button 10" hidden="1">
              <a:extLst>
                <a:ext uri="{63B3BB69-23CF-44E3-9099-C40C66FF867C}">
                  <a14:compatExt spid="_x0000_s17418"/>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609600</xdr:colOff>
          <xdr:row>2</xdr:row>
          <xdr:rowOff>0</xdr:rowOff>
        </xdr:to>
        <xdr:sp macro="" textlink="">
          <xdr:nvSpPr>
            <xdr:cNvPr id="17420" name="Button 12" hidden="1">
              <a:extLst>
                <a:ext uri="{63B3BB69-23CF-44E3-9099-C40C66FF867C}">
                  <a14:compatExt spid="_x0000_s17420"/>
                </a:ext>
                <a:ext uri="{FF2B5EF4-FFF2-40B4-BE49-F238E27FC236}">
                  <a16:creationId xmlns:a16="http://schemas.microsoft.com/office/drawing/2014/main" id="{00000000-0008-0000-0100-00000C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 EO Excel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0658" name="Button 2" hidden="1">
              <a:extLst>
                <a:ext uri="{63B3BB69-23CF-44E3-9099-C40C66FF867C}">
                  <a14:compatExt spid="_x0000_s70658"/>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2707" name="Button 3" hidden="1">
              <a:extLst>
                <a:ext uri="{63B3BB69-23CF-44E3-9099-C40C66FF867C}">
                  <a14:compatExt spid="_x0000_s72707"/>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4755" name="Button 3" hidden="1">
              <a:extLst>
                <a:ext uri="{63B3BB69-23CF-44E3-9099-C40C66FF867C}">
                  <a14:compatExt spid="_x0000_s74755"/>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5779" name="Button 3" hidden="1">
              <a:extLst>
                <a:ext uri="{63B3BB69-23CF-44E3-9099-C40C66FF867C}">
                  <a14:compatExt spid="_x0000_s75779"/>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6802" name="Button 2" hidden="1">
              <a:extLst>
                <a:ext uri="{63B3BB69-23CF-44E3-9099-C40C66FF867C}">
                  <a14:compatExt spid="_x0000_s76802"/>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6803" name="Button 3" hidden="1">
              <a:extLst>
                <a:ext uri="{63B3BB69-23CF-44E3-9099-C40C66FF867C}">
                  <a14:compatExt spid="_x0000_s76803"/>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2</xdr:row>
          <xdr:rowOff>0</xdr:rowOff>
        </xdr:from>
        <xdr:to>
          <xdr:col>11</xdr:col>
          <xdr:colOff>0</xdr:colOff>
          <xdr:row>3</xdr:row>
          <xdr:rowOff>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100-000008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Reorganise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5</xdr:row>
          <xdr:rowOff>0</xdr:rowOff>
        </xdr:from>
        <xdr:to>
          <xdr:col>15</xdr:col>
          <xdr:colOff>0</xdr:colOff>
          <xdr:row>6</xdr:row>
          <xdr:rowOff>0</xdr:rowOff>
        </xdr:to>
        <xdr:sp macro="" textlink="">
          <xdr:nvSpPr>
            <xdr:cNvPr id="82946" name="Button 2" hidden="1">
              <a:extLst>
                <a:ext uri="{63B3BB69-23CF-44E3-9099-C40C66FF867C}">
                  <a14:compatExt spid="_x0000_s82946"/>
                </a:ext>
                <a:ext uri="{FF2B5EF4-FFF2-40B4-BE49-F238E27FC236}">
                  <a16:creationId xmlns:a16="http://schemas.microsoft.com/office/drawing/2014/main" id="{00000000-0008-0000-0100-000009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4</xdr:row>
          <xdr:rowOff>190500</xdr:rowOff>
        </xdr:from>
        <xdr:to>
          <xdr:col>11</xdr:col>
          <xdr:colOff>0</xdr:colOff>
          <xdr:row>6</xdr:row>
          <xdr:rowOff>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0100-00000A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Check-Fail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s>
    <definedNames>
      <definedName name="FileExist"/>
    </definedNames>
    <sheetDataSet>
      <sheetData sheetId="0"/>
    </sheetDataSet>
  </externalBook>
</externalLink>
</file>

<file path=xl/tables/table1.xml><?xml version="1.0" encoding="utf-8"?>
<table xmlns="http://schemas.openxmlformats.org/spreadsheetml/2006/main" id="1" name="Table1" displayName="Table1" ref="V1:W4" totalsRowShown="0" headerRowDxfId="86">
  <tableColumns count="2">
    <tableColumn id="1" name="Version" dataDxfId="85"/>
    <tableColumn id="2" name="Change Log Descriptio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7.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8.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omments" Target="../comments10.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omments" Target="../comments11.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omments" Target="../comments13.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omments" Target="../comments14.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omments" Target="../comments15.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omments" Target="../comments16.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omments" Target="../comments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W11"/>
  <sheetViews>
    <sheetView workbookViewId="0">
      <pane xSplit="1" ySplit="1" topLeftCell="C2" activePane="bottomRight" state="frozen"/>
      <selection pane="topRight" activeCell="B1" sqref="B1"/>
      <selection pane="bottomLeft" activeCell="A2" sqref="A2"/>
      <selection pane="bottomRight" activeCell="S18" sqref="S18"/>
    </sheetView>
  </sheetViews>
  <sheetFormatPr defaultRowHeight="14.5" x14ac:dyDescent="0.35"/>
  <cols>
    <col min="1" max="1" width="12.81640625" style="29" bestFit="1" customWidth="1"/>
    <col min="2" max="2" width="9.1796875" style="30"/>
    <col min="3" max="3" width="9.1796875" style="31"/>
    <col min="4" max="6" width="9.1796875" style="23"/>
    <col min="7" max="7" width="9.1796875" style="25"/>
    <col min="8" max="8" width="9.1796875" style="31"/>
    <col min="9" max="11" width="9.1796875" style="35"/>
    <col min="12" max="12" width="9.1796875" style="37"/>
    <col min="13" max="16" width="9.1796875" style="23"/>
    <col min="17" max="17" width="9.1796875" style="37"/>
    <col min="18" max="21" width="10.7265625" customWidth="1"/>
    <col min="22" max="22" width="10" style="69" customWidth="1"/>
    <col min="23" max="23" width="64.26953125" customWidth="1"/>
  </cols>
  <sheetData>
    <row r="1" spans="1:23" x14ac:dyDescent="0.35">
      <c r="A1" s="39"/>
      <c r="B1" s="28" t="s">
        <v>32</v>
      </c>
      <c r="C1" s="62" t="s">
        <v>18</v>
      </c>
      <c r="D1" s="63" t="s">
        <v>19</v>
      </c>
      <c r="E1" s="63" t="s">
        <v>21</v>
      </c>
      <c r="F1" s="63" t="s">
        <v>20</v>
      </c>
      <c r="G1" s="64" t="s">
        <v>17</v>
      </c>
      <c r="H1" s="32" t="s">
        <v>22</v>
      </c>
      <c r="I1" s="33" t="s">
        <v>23</v>
      </c>
      <c r="J1" s="33" t="s">
        <v>25</v>
      </c>
      <c r="K1" s="33" t="s">
        <v>24</v>
      </c>
      <c r="L1" s="34" t="s">
        <v>26</v>
      </c>
      <c r="M1" s="26" t="s">
        <v>27</v>
      </c>
      <c r="N1" s="27" t="s">
        <v>28</v>
      </c>
      <c r="O1" s="27" t="s">
        <v>30</v>
      </c>
      <c r="P1" s="27" t="s">
        <v>29</v>
      </c>
      <c r="Q1" s="38" t="s">
        <v>31</v>
      </c>
      <c r="V1" s="66" t="s">
        <v>52</v>
      </c>
      <c r="W1" s="66" t="s">
        <v>55</v>
      </c>
    </row>
    <row r="2" spans="1:23" x14ac:dyDescent="0.35">
      <c r="G2" s="24"/>
      <c r="L2" s="36"/>
      <c r="Q2" s="36"/>
      <c r="V2" s="78"/>
      <c r="W2" s="66"/>
    </row>
    <row r="3" spans="1:23" ht="58" x14ac:dyDescent="0.35">
      <c r="B3" s="30">
        <f>SUM(B1:B$2)</f>
        <v>0</v>
      </c>
      <c r="D3" s="23" t="e">
        <f>AVERAGE(D1:D$2)</f>
        <v>#DIV/0!</v>
      </c>
      <c r="G3" s="24">
        <f>SUM(G1:G$2)</f>
        <v>0</v>
      </c>
      <c r="I3" s="35" t="e">
        <f>AVERAGE(I1:I$2)</f>
        <v>#DIV/0!</v>
      </c>
      <c r="L3" s="36">
        <f>SUM(L1:L$2)</f>
        <v>0</v>
      </c>
      <c r="N3" s="23" t="e">
        <f>AVERAGE(N1:N$2)</f>
        <v>#DIV/0!</v>
      </c>
      <c r="Q3" s="36">
        <f>SUM(Q1:Q$2)</f>
        <v>0</v>
      </c>
      <c r="V3" s="68" t="s">
        <v>51</v>
      </c>
      <c r="W3" s="67" t="s">
        <v>60</v>
      </c>
    </row>
    <row r="4" spans="1:23" ht="29" x14ac:dyDescent="0.35">
      <c r="G4" s="24"/>
      <c r="L4" s="36"/>
      <c r="Q4" s="36"/>
      <c r="S4" s="65" t="s">
        <v>39</v>
      </c>
      <c r="V4" s="68" t="s">
        <v>41</v>
      </c>
      <c r="W4" s="67" t="s">
        <v>53</v>
      </c>
    </row>
    <row r="5" spans="1:23" x14ac:dyDescent="0.35">
      <c r="G5" s="24"/>
      <c r="L5" s="36"/>
      <c r="Q5" s="36"/>
    </row>
    <row r="6" spans="1:23" x14ac:dyDescent="0.35">
      <c r="G6" s="24"/>
      <c r="L6" s="36"/>
      <c r="Q6" s="36"/>
      <c r="S6" s="73"/>
    </row>
    <row r="7" spans="1:23" x14ac:dyDescent="0.35">
      <c r="G7" s="24"/>
      <c r="L7" s="36"/>
      <c r="Q7" s="36"/>
      <c r="R7" s="66" t="s">
        <v>56</v>
      </c>
      <c r="S7" t="s">
        <v>63</v>
      </c>
      <c r="U7" s="72"/>
    </row>
    <row r="8" spans="1:23" x14ac:dyDescent="0.35">
      <c r="G8" s="24"/>
      <c r="L8" s="36"/>
      <c r="Q8" s="36"/>
      <c r="R8" s="66" t="s">
        <v>57</v>
      </c>
      <c r="S8" t="s">
        <v>65</v>
      </c>
      <c r="U8" s="72"/>
    </row>
    <row r="9" spans="1:23" x14ac:dyDescent="0.35">
      <c r="R9" s="66" t="s">
        <v>58</v>
      </c>
      <c r="S9" t="s">
        <v>64</v>
      </c>
      <c r="U9" s="72"/>
    </row>
    <row r="10" spans="1:23" x14ac:dyDescent="0.35">
      <c r="G10" s="24"/>
      <c r="L10" s="36"/>
      <c r="Q10" s="36"/>
      <c r="S10" s="74" t="s">
        <v>62</v>
      </c>
    </row>
    <row r="11" spans="1:23" x14ac:dyDescent="0.35">
      <c r="R11" s="66" t="s">
        <v>59</v>
      </c>
      <c r="S11" s="71" t="str" cm="1">
        <f t="array" aca="1" ref="S11" ca="1">LEFT(CELL("filename",A1),FIND("[",CELL("filename",A1))-1)</f>
        <v>C:\Users\usha.jayahkudy\Desktop\Master Listing\BCSCU\April 2021\</v>
      </c>
    </row>
  </sheetData>
  <conditionalFormatting sqref="S7:U9">
    <cfRule type="expression" dxfId="87" priority="17">
      <formula>NOT('\Users\usha.jayahkudy\AppData\Roaming\Microsoft\AddIns\BXXCU SML Macro Library.xlam'!FileExist($S$11&amp;$S7))</formula>
    </cfRule>
  </conditionalFormatting>
  <pageMargins left="0.7" right="0.7" top="0.75" bottom="0.75" header="0.3" footer="0.3"/>
  <pageSetup paperSize="9" orientation="portrait" r:id="rId1"/>
  <drawing r:id="rId2"/>
  <legacyDrawing r:id="rId3"/>
  <oleObjects>
    <mc:AlternateContent xmlns:mc="http://schemas.openxmlformats.org/markup-compatibility/2006">
      <mc:Choice Requires="x14">
        <oleObject progId="Packager Shell Object" dvAspect="DVASPECT_ICON" shapeId="52226" r:id="rId4">
          <objectPr defaultSize="0" autoPict="0" r:id="rId5">
            <anchor moveWithCells="1">
              <from>
                <xdr:col>18</xdr:col>
                <xdr:colOff>0</xdr:colOff>
                <xdr:row>1</xdr:row>
                <xdr:rowOff>0</xdr:rowOff>
              </from>
              <to>
                <xdr:col>20</xdr:col>
                <xdr:colOff>0</xdr:colOff>
                <xdr:row>3</xdr:row>
                <xdr:rowOff>0</xdr:rowOff>
              </to>
            </anchor>
          </objectPr>
        </oleObject>
      </mc:Choice>
      <mc:Fallback>
        <oleObject progId="Packager Shell Object" dvAspect="DVASPECT_ICON" shapeId="52226" r:id="rId4"/>
      </mc:Fallback>
    </mc:AlternateContent>
  </oleObjects>
  <mc:AlternateContent xmlns:mc="http://schemas.openxmlformats.org/markup-compatibility/2006">
    <mc:Choice Requires="x14">
      <controls>
        <mc:AlternateContent xmlns:mc="http://schemas.openxmlformats.org/markup-compatibility/2006">
          <mc:Choice Requires="x14">
            <control shapeId="52225" r:id="rId6" name="Button 1">
              <controlPr defaultSize="0" print="0" autoFill="0" autoPict="0" macro="[0]!Total_Summary">
                <anchor moveWithCells="1" sizeWithCells="1">
                  <from>
                    <xdr:col>0</xdr:col>
                    <xdr:colOff>0</xdr:colOff>
                    <xdr:row>0</xdr:row>
                    <xdr:rowOff>0</xdr:rowOff>
                  </from>
                  <to>
                    <xdr:col>1</xdr:col>
                    <xdr:colOff>0</xdr:colOff>
                    <xdr:row>1</xdr:row>
                    <xdr:rowOff>0</xdr:rowOff>
                  </to>
                </anchor>
              </controlPr>
            </control>
          </mc:Choice>
        </mc:AlternateContent>
        <mc:AlternateContent xmlns:mc="http://schemas.openxmlformats.org/markup-compatibility/2006">
          <mc:Choice Requires="x14">
            <control shapeId="52227" r:id="rId7" name="Button 3">
              <controlPr defaultSize="0" print="0" autoFill="0" autoPict="0" macro="[0]!CombinePDFinOne">
                <anchor moveWithCells="1" sizeWithCells="1">
                  <from>
                    <xdr:col>18</xdr:col>
                    <xdr:colOff>0</xdr:colOff>
                    <xdr:row>5</xdr:row>
                    <xdr:rowOff>0</xdr:rowOff>
                  </from>
                  <to>
                    <xdr:col>20</xdr:col>
                    <xdr:colOff>0</xdr:colOff>
                    <xdr:row>6</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96"/>
  <sheetViews>
    <sheetView zoomScaleNormal="100" workbookViewId="0">
      <pane xSplit="1" ySplit="9" topLeftCell="B67" activePane="bottomRight" state="frozen"/>
      <selection activeCell="E16" sqref="E16"/>
      <selection pane="topRight" activeCell="E16" sqref="E16"/>
      <selection pane="bottomLeft" activeCell="E16" sqref="E16"/>
      <selection pane="bottomRight" activeCell="G73" sqref="G73"/>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6384" width="9.1796875" style="2"/>
  </cols>
  <sheetData>
    <row r="1" spans="1:18" x14ac:dyDescent="0.35">
      <c r="A1" s="48" t="s">
        <v>7</v>
      </c>
      <c r="D1" s="2" t="s">
        <v>66</v>
      </c>
      <c r="F1" s="58" t="s">
        <v>35</v>
      </c>
      <c r="G1" s="5"/>
      <c r="L1" s="52"/>
      <c r="M1" s="54" t="s">
        <v>34</v>
      </c>
      <c r="O1" s="40"/>
    </row>
    <row r="2" spans="1:18" x14ac:dyDescent="0.35">
      <c r="A2" s="22" t="s">
        <v>11</v>
      </c>
      <c r="B2" s="21">
        <f>COUNTA(B10:B89)</f>
        <v>0</v>
      </c>
      <c r="F2" s="59" t="s">
        <v>40</v>
      </c>
      <c r="G2" s="2" t="s">
        <v>67</v>
      </c>
      <c r="J2" s="60" t="str" cm="1">
        <f t="array" aca="1" ref="J2" ca="1">IF([1]!FileExist(N4 &amp; G2), "", "Error! File does not exist!!!")</f>
        <v/>
      </c>
      <c r="L2" s="52"/>
      <c r="M2" s="47" t="s">
        <v>36</v>
      </c>
      <c r="O2" s="55"/>
    </row>
    <row r="3" spans="1:18" x14ac:dyDescent="0.35">
      <c r="F3" s="59" t="s">
        <v>42</v>
      </c>
      <c r="L3" s="52"/>
      <c r="M3" s="47" t="s">
        <v>47</v>
      </c>
      <c r="O3" s="40"/>
    </row>
    <row r="4" spans="1:18" x14ac:dyDescent="0.35">
      <c r="A4" s="20" t="s">
        <v>0</v>
      </c>
      <c r="B4" s="13"/>
      <c r="C4" s="17"/>
      <c r="D4" s="15"/>
      <c r="F4" s="59" t="s">
        <v>43</v>
      </c>
      <c r="L4" s="52"/>
      <c r="M4" s="75" t="s">
        <v>50</v>
      </c>
      <c r="N4" s="61" t="str" cm="1">
        <f t="array" aca="1" ref="N4" ca="1">LEFT(CELL("filename",A1),FIND("[",CELL("filename",A1))-1)</f>
        <v>C:\Users\usha.jayahkudy\Desktop\Master Listing\BCSCU\April 2021\</v>
      </c>
      <c r="O4" s="40"/>
    </row>
    <row r="5" spans="1:18" x14ac:dyDescent="0.35">
      <c r="A5" s="20" t="s">
        <v>1</v>
      </c>
      <c r="B5" s="13"/>
      <c r="C5" s="14"/>
      <c r="D5" s="16"/>
      <c r="F5" s="59" t="s">
        <v>38</v>
      </c>
      <c r="L5" s="52"/>
      <c r="M5" s="47" t="s">
        <v>49</v>
      </c>
      <c r="O5" s="40"/>
    </row>
    <row r="6" spans="1:18" x14ac:dyDescent="0.35">
      <c r="A6" s="20" t="s">
        <v>37</v>
      </c>
      <c r="B6" s="13"/>
      <c r="C6" s="14"/>
      <c r="D6" s="16"/>
      <c r="F6" s="59" t="s">
        <v>54</v>
      </c>
      <c r="J6" s="70">
        <v>35</v>
      </c>
      <c r="K6" s="70">
        <v>40</v>
      </c>
      <c r="L6" s="52"/>
      <c r="N6" s="51" t="str">
        <f>B5&amp;".pdf"</f>
        <v>.pdf</v>
      </c>
      <c r="O6" s="40"/>
      <c r="P6" s="60" t="str" cm="1">
        <f t="array" aca="1" ref="P6" ca="1">IF([1]!FileExist(N4 &amp; "SAB\" &amp; N6), "", "Error! File does not exist!!!")</f>
        <v>Error! File does not exist!!!</v>
      </c>
    </row>
    <row r="7" spans="1:18" x14ac:dyDescent="0.35">
      <c r="A7" s="7"/>
      <c r="B7" s="7"/>
      <c r="D7" s="3"/>
      <c r="F7" s="59" t="s">
        <v>44</v>
      </c>
      <c r="L7" s="52"/>
      <c r="M7" s="47" t="s">
        <v>48</v>
      </c>
    </row>
    <row r="8" spans="1:18" x14ac:dyDescent="0.35">
      <c r="D8" s="3"/>
      <c r="F8" s="59" t="s">
        <v>45</v>
      </c>
      <c r="G8" s="6"/>
      <c r="H8" s="44"/>
      <c r="I8" s="44"/>
      <c r="L8" s="52"/>
      <c r="M8" s="54" t="s">
        <v>61</v>
      </c>
      <c r="O8" s="40"/>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46" t="s">
        <v>6</v>
      </c>
      <c r="P9" s="46" t="s">
        <v>5</v>
      </c>
      <c r="Q9" s="46" t="s">
        <v>7</v>
      </c>
      <c r="R9" s="46"/>
    </row>
    <row r="10" spans="1:18" x14ac:dyDescent="0.35">
      <c r="A10" s="41"/>
      <c r="B10" s="42"/>
      <c r="C10" s="11"/>
      <c r="D10" s="11"/>
      <c r="E10" s="3"/>
      <c r="F10" s="18"/>
      <c r="G10" s="9"/>
      <c r="H10" s="10"/>
      <c r="I10" s="10"/>
      <c r="J10" s="76"/>
      <c r="K10" s="2" t="str">
        <f>IF(I10="-", IF(J10&lt;$K$6, "Failed!", "pass"), IF(AND(H10&gt;=$J$6, I10&gt;=$J$6, J10&gt;=$K$6), "pass", "Failed!"))</f>
        <v>Failed!</v>
      </c>
      <c r="L10" s="53"/>
      <c r="M10" s="42" t="s">
        <v>46</v>
      </c>
      <c r="N10" s="42"/>
      <c r="O10" s="42"/>
      <c r="P10" s="42"/>
      <c r="Q10" s="42"/>
    </row>
    <row r="11" spans="1:18" x14ac:dyDescent="0.35">
      <c r="A11" s="41"/>
      <c r="B11" s="42"/>
      <c r="C11" s="11"/>
      <c r="D11" s="11"/>
      <c r="E11" s="3"/>
      <c r="F11" s="18"/>
      <c r="G11" s="9"/>
      <c r="H11" s="10"/>
      <c r="I11" s="10"/>
      <c r="J11" s="76"/>
      <c r="K11" s="2" t="str">
        <f t="shared" ref="K11:K74" si="0">IF(I11="-", IF(J11&lt;$K$6, "Failed!", "pass"), IF(AND(H11&gt;=$J$6, I11&gt;=$J$6, J11&gt;=$K$6), "pass", "Failed!"))</f>
        <v>Failed!</v>
      </c>
      <c r="L11" s="53"/>
      <c r="M11" s="42"/>
      <c r="N11" s="42"/>
      <c r="O11" s="42"/>
      <c r="P11" s="42"/>
      <c r="Q11" s="42"/>
    </row>
    <row r="12" spans="1:18" x14ac:dyDescent="0.35">
      <c r="A12" s="41"/>
      <c r="B12" s="43"/>
      <c r="C12" s="11"/>
      <c r="D12" s="11"/>
      <c r="E12" s="3"/>
      <c r="F12" s="18"/>
      <c r="G12" s="9"/>
      <c r="H12" s="10"/>
      <c r="I12" s="10"/>
      <c r="J12" s="76"/>
      <c r="K12" s="2" t="str">
        <f t="shared" si="0"/>
        <v>Failed!</v>
      </c>
      <c r="L12" s="53"/>
      <c r="M12" s="42"/>
      <c r="N12" s="42"/>
      <c r="O12" s="42"/>
      <c r="P12" s="42"/>
      <c r="Q12" s="42"/>
    </row>
    <row r="13" spans="1:18" x14ac:dyDescent="0.35">
      <c r="A13" s="41"/>
      <c r="B13" s="42"/>
      <c r="C13" s="11"/>
      <c r="D13" s="11"/>
      <c r="E13" s="3"/>
      <c r="F13" s="18"/>
      <c r="G13" s="9"/>
      <c r="H13" s="10"/>
      <c r="I13" s="10"/>
      <c r="J13" s="76"/>
      <c r="K13" s="2" t="str">
        <f t="shared" si="0"/>
        <v>Failed!</v>
      </c>
      <c r="L13" s="53"/>
      <c r="M13" s="42"/>
      <c r="N13" s="42"/>
      <c r="O13" s="42"/>
      <c r="P13" s="42"/>
      <c r="Q13" s="42"/>
    </row>
    <row r="14" spans="1:18" x14ac:dyDescent="0.35">
      <c r="A14" s="41"/>
      <c r="B14" s="42"/>
      <c r="C14" s="11"/>
      <c r="D14" s="11"/>
      <c r="E14" s="3"/>
      <c r="F14" s="18"/>
      <c r="G14" s="9"/>
      <c r="H14" s="10"/>
      <c r="I14" s="10"/>
      <c r="J14" s="76"/>
      <c r="K14" s="2" t="str">
        <f t="shared" si="0"/>
        <v>Failed!</v>
      </c>
      <c r="L14" s="53"/>
      <c r="M14" s="42"/>
      <c r="N14" s="42"/>
      <c r="O14" s="42"/>
      <c r="P14" s="42"/>
      <c r="Q14" s="42"/>
    </row>
    <row r="15" spans="1:18" x14ac:dyDescent="0.35">
      <c r="A15" s="41"/>
      <c r="B15" s="42"/>
      <c r="C15" s="11"/>
      <c r="D15" s="11"/>
      <c r="E15" s="3"/>
      <c r="F15" s="18"/>
      <c r="G15" s="9"/>
      <c r="H15" s="10"/>
      <c r="I15" s="10"/>
      <c r="J15" s="76"/>
      <c r="K15" s="2" t="str">
        <f t="shared" si="0"/>
        <v>Failed!</v>
      </c>
      <c r="L15" s="53"/>
      <c r="M15" s="42"/>
      <c r="N15" s="42"/>
      <c r="O15" s="42"/>
      <c r="P15" s="42"/>
      <c r="Q15" s="42"/>
    </row>
    <row r="16" spans="1:18" x14ac:dyDescent="0.35">
      <c r="A16" s="41"/>
      <c r="B16" s="42"/>
      <c r="C16" s="11"/>
      <c r="D16" s="11"/>
      <c r="E16" s="3"/>
      <c r="F16" s="18"/>
      <c r="G16" s="9"/>
      <c r="H16" s="10"/>
      <c r="I16" s="10"/>
      <c r="J16" s="76"/>
      <c r="K16" s="2" t="str">
        <f t="shared" si="0"/>
        <v>Failed!</v>
      </c>
      <c r="L16" s="53"/>
      <c r="M16" s="42"/>
      <c r="N16" s="42"/>
      <c r="O16" s="42"/>
      <c r="P16" s="42"/>
      <c r="Q16" s="42"/>
    </row>
    <row r="17" spans="1:17" x14ac:dyDescent="0.35">
      <c r="A17" s="41"/>
      <c r="B17" s="42"/>
      <c r="C17" s="11"/>
      <c r="D17" s="11"/>
      <c r="E17" s="3"/>
      <c r="F17" s="18"/>
      <c r="G17" s="9"/>
      <c r="H17" s="10"/>
      <c r="I17" s="10"/>
      <c r="J17" s="76"/>
      <c r="K17" s="2" t="str">
        <f t="shared" si="0"/>
        <v>Failed!</v>
      </c>
      <c r="L17" s="53"/>
      <c r="M17" s="42"/>
      <c r="N17" s="42"/>
      <c r="O17" s="42"/>
      <c r="P17" s="42"/>
      <c r="Q17" s="42"/>
    </row>
    <row r="18" spans="1:17" x14ac:dyDescent="0.35">
      <c r="A18" s="41"/>
      <c r="B18" s="42"/>
      <c r="C18" s="11"/>
      <c r="D18" s="11"/>
      <c r="E18" s="3"/>
      <c r="F18" s="18"/>
      <c r="G18" s="9"/>
      <c r="H18" s="10"/>
      <c r="I18" s="10"/>
      <c r="J18" s="76"/>
      <c r="K18" s="2" t="str">
        <f t="shared" si="0"/>
        <v>Failed!</v>
      </c>
      <c r="L18" s="53"/>
      <c r="M18" s="42"/>
      <c r="N18" s="42"/>
      <c r="O18" s="42"/>
      <c r="P18" s="42"/>
      <c r="Q18" s="42"/>
    </row>
    <row r="19" spans="1:17" x14ac:dyDescent="0.35">
      <c r="A19" s="41"/>
      <c r="B19" s="42"/>
      <c r="C19" s="11"/>
      <c r="D19" s="11"/>
      <c r="E19" s="3"/>
      <c r="F19" s="18"/>
      <c r="G19" s="9"/>
      <c r="H19" s="10"/>
      <c r="I19" s="10"/>
      <c r="J19" s="76"/>
      <c r="K19" s="2" t="str">
        <f t="shared" si="0"/>
        <v>Failed!</v>
      </c>
      <c r="L19" s="53"/>
      <c r="M19" s="42"/>
      <c r="N19" s="42"/>
      <c r="O19" s="42"/>
      <c r="P19" s="42"/>
      <c r="Q19" s="42"/>
    </row>
    <row r="20" spans="1:17" x14ac:dyDescent="0.35">
      <c r="A20" s="41"/>
      <c r="B20" s="42"/>
      <c r="C20" s="11"/>
      <c r="D20" s="11"/>
      <c r="E20" s="3"/>
      <c r="F20" s="18"/>
      <c r="G20" s="9"/>
      <c r="H20" s="10"/>
      <c r="I20" s="10"/>
      <c r="J20" s="76"/>
      <c r="K20" s="2" t="str">
        <f t="shared" si="0"/>
        <v>Failed!</v>
      </c>
      <c r="L20" s="53"/>
      <c r="M20" s="42"/>
      <c r="N20" s="42"/>
      <c r="O20" s="42"/>
      <c r="P20" s="42"/>
      <c r="Q20" s="42"/>
    </row>
    <row r="21" spans="1:17" x14ac:dyDescent="0.35">
      <c r="A21" s="41"/>
      <c r="B21" s="42"/>
      <c r="C21" s="11"/>
      <c r="D21" s="11"/>
      <c r="E21" s="3"/>
      <c r="F21" s="18"/>
      <c r="G21" s="9"/>
      <c r="H21" s="10"/>
      <c r="I21" s="10"/>
      <c r="J21" s="76"/>
      <c r="K21" s="2" t="str">
        <f t="shared" si="0"/>
        <v>Failed!</v>
      </c>
      <c r="L21" s="53"/>
      <c r="M21" s="42"/>
      <c r="N21" s="42"/>
      <c r="O21" s="42"/>
      <c r="P21" s="42"/>
      <c r="Q21" s="42"/>
    </row>
    <row r="22" spans="1:17" x14ac:dyDescent="0.35">
      <c r="A22" s="41"/>
      <c r="B22" s="42"/>
      <c r="C22" s="11"/>
      <c r="D22" s="11"/>
      <c r="E22" s="3"/>
      <c r="F22" s="18"/>
      <c r="G22" s="9"/>
      <c r="H22" s="10"/>
      <c r="I22" s="10"/>
      <c r="J22" s="76"/>
      <c r="K22" s="2" t="str">
        <f t="shared" si="0"/>
        <v>Failed!</v>
      </c>
      <c r="L22" s="53"/>
      <c r="M22" s="42"/>
      <c r="N22" s="42"/>
      <c r="O22" s="42"/>
      <c r="P22" s="42"/>
      <c r="Q22" s="42"/>
    </row>
    <row r="23" spans="1:17" x14ac:dyDescent="0.35">
      <c r="A23" s="41"/>
      <c r="B23" s="42"/>
      <c r="C23" s="11"/>
      <c r="D23" s="11"/>
      <c r="E23" s="3"/>
      <c r="F23" s="18"/>
      <c r="G23" s="9"/>
      <c r="H23" s="10"/>
      <c r="I23" s="10"/>
      <c r="J23" s="76"/>
      <c r="K23" s="2" t="str">
        <f t="shared" si="0"/>
        <v>Failed!</v>
      </c>
      <c r="L23" s="53"/>
      <c r="M23" s="42"/>
      <c r="N23" s="42"/>
      <c r="O23" s="42"/>
      <c r="P23" s="42"/>
      <c r="Q23" s="42"/>
    </row>
    <row r="24" spans="1:17" x14ac:dyDescent="0.35">
      <c r="A24" s="41"/>
      <c r="B24" s="42"/>
      <c r="C24" s="11"/>
      <c r="D24" s="11"/>
      <c r="E24" s="3"/>
      <c r="F24" s="18"/>
      <c r="G24" s="9"/>
      <c r="H24" s="10"/>
      <c r="I24" s="10"/>
      <c r="J24" s="76"/>
      <c r="K24" s="2" t="str">
        <f t="shared" si="0"/>
        <v>Failed!</v>
      </c>
      <c r="L24" s="53"/>
      <c r="M24" s="42"/>
      <c r="N24" s="42"/>
      <c r="O24" s="42"/>
      <c r="P24" s="42"/>
      <c r="Q24" s="42"/>
    </row>
    <row r="25" spans="1:17" x14ac:dyDescent="0.35">
      <c r="A25" s="41"/>
      <c r="B25" s="42"/>
      <c r="C25" s="11"/>
      <c r="D25" s="11"/>
      <c r="E25" s="3"/>
      <c r="F25" s="18"/>
      <c r="G25" s="9"/>
      <c r="H25" s="10"/>
      <c r="I25" s="10"/>
      <c r="J25" s="76"/>
      <c r="K25" s="2" t="str">
        <f t="shared" si="0"/>
        <v>Failed!</v>
      </c>
      <c r="L25" s="53"/>
      <c r="M25" s="42"/>
      <c r="N25" s="42"/>
      <c r="O25" s="42"/>
      <c r="P25" s="42"/>
      <c r="Q25" s="42"/>
    </row>
    <row r="26" spans="1:17" x14ac:dyDescent="0.35">
      <c r="A26" s="41"/>
      <c r="B26" s="42"/>
      <c r="C26" s="11"/>
      <c r="D26" s="11"/>
      <c r="E26" s="3"/>
      <c r="F26" s="18"/>
      <c r="G26" s="9"/>
      <c r="H26" s="10"/>
      <c r="I26" s="10"/>
      <c r="J26" s="76"/>
      <c r="K26" s="2" t="str">
        <f t="shared" si="0"/>
        <v>Failed!</v>
      </c>
      <c r="L26" s="53"/>
      <c r="M26" s="42"/>
      <c r="N26" s="42"/>
      <c r="O26" s="42"/>
      <c r="P26" s="42"/>
      <c r="Q26" s="42"/>
    </row>
    <row r="27" spans="1:17" x14ac:dyDescent="0.35">
      <c r="A27" s="41"/>
      <c r="B27" s="42"/>
      <c r="C27" s="11"/>
      <c r="D27" s="11"/>
      <c r="E27" s="3"/>
      <c r="F27" s="18"/>
      <c r="G27" s="9"/>
      <c r="H27" s="10"/>
      <c r="I27" s="10"/>
      <c r="J27" s="76"/>
      <c r="K27" s="2" t="str">
        <f t="shared" si="0"/>
        <v>Failed!</v>
      </c>
      <c r="L27" s="53"/>
      <c r="M27" s="42"/>
      <c r="N27" s="42"/>
      <c r="O27" s="42"/>
      <c r="P27" s="42"/>
      <c r="Q27" s="42"/>
    </row>
    <row r="28" spans="1:17" x14ac:dyDescent="0.35">
      <c r="A28" s="41"/>
      <c r="B28" s="42"/>
      <c r="C28" s="11"/>
      <c r="D28" s="11"/>
      <c r="E28" s="3"/>
      <c r="F28" s="18"/>
      <c r="G28" s="9"/>
      <c r="H28" s="10"/>
      <c r="I28" s="10"/>
      <c r="J28" s="76"/>
      <c r="K28" s="2" t="str">
        <f t="shared" si="0"/>
        <v>Failed!</v>
      </c>
      <c r="L28" s="53"/>
      <c r="M28" s="42"/>
      <c r="N28" s="42"/>
      <c r="O28" s="42"/>
      <c r="P28" s="42"/>
      <c r="Q28" s="42"/>
    </row>
    <row r="29" spans="1:17" x14ac:dyDescent="0.35">
      <c r="A29" s="41"/>
      <c r="B29" s="42"/>
      <c r="C29" s="11"/>
      <c r="D29" s="11"/>
      <c r="E29" s="3"/>
      <c r="F29" s="18"/>
      <c r="G29" s="9"/>
      <c r="H29" s="10"/>
      <c r="I29" s="10"/>
      <c r="J29" s="76"/>
      <c r="K29" s="2" t="str">
        <f t="shared" si="0"/>
        <v>Failed!</v>
      </c>
      <c r="L29" s="53"/>
      <c r="M29" s="42"/>
      <c r="N29" s="42"/>
      <c r="O29" s="42"/>
      <c r="P29" s="42"/>
      <c r="Q29" s="42"/>
    </row>
    <row r="30" spans="1:17" x14ac:dyDescent="0.35">
      <c r="A30" s="41"/>
      <c r="B30" s="42"/>
      <c r="C30" s="11"/>
      <c r="D30" s="11"/>
      <c r="E30" s="3"/>
      <c r="F30" s="18"/>
      <c r="G30" s="9"/>
      <c r="H30" s="10"/>
      <c r="I30" s="10"/>
      <c r="J30" s="76"/>
      <c r="K30" s="2" t="str">
        <f t="shared" si="0"/>
        <v>Failed!</v>
      </c>
      <c r="L30" s="53"/>
      <c r="M30" s="42"/>
      <c r="N30" s="42"/>
      <c r="O30" s="42"/>
      <c r="P30" s="42"/>
      <c r="Q30" s="42"/>
    </row>
    <row r="31" spans="1:17" x14ac:dyDescent="0.35">
      <c r="A31" s="41"/>
      <c r="B31" s="42"/>
      <c r="C31" s="11"/>
      <c r="D31" s="11"/>
      <c r="E31" s="3"/>
      <c r="F31" s="18"/>
      <c r="G31" s="9"/>
      <c r="H31" s="10"/>
      <c r="I31" s="10"/>
      <c r="J31" s="76"/>
      <c r="K31" s="2" t="str">
        <f t="shared" si="0"/>
        <v>Failed!</v>
      </c>
      <c r="L31" s="53"/>
      <c r="M31" s="42"/>
      <c r="N31" s="42"/>
      <c r="O31" s="42"/>
      <c r="P31" s="42"/>
      <c r="Q31" s="42"/>
    </row>
    <row r="32" spans="1:17" x14ac:dyDescent="0.35">
      <c r="A32" s="41"/>
      <c r="B32" s="42"/>
      <c r="C32" s="11"/>
      <c r="D32" s="11"/>
      <c r="E32" s="3"/>
      <c r="F32" s="18"/>
      <c r="G32" s="9"/>
      <c r="H32" s="10"/>
      <c r="I32" s="10"/>
      <c r="J32" s="76"/>
      <c r="K32" s="2" t="str">
        <f t="shared" si="0"/>
        <v>Failed!</v>
      </c>
      <c r="L32" s="53"/>
      <c r="M32" s="42"/>
      <c r="N32" s="42"/>
      <c r="O32" s="42"/>
      <c r="P32" s="42"/>
      <c r="Q32" s="42"/>
    </row>
    <row r="33" spans="1:17" x14ac:dyDescent="0.35">
      <c r="A33" s="41"/>
      <c r="B33" s="42"/>
      <c r="C33" s="11"/>
      <c r="D33" s="11"/>
      <c r="E33" s="3"/>
      <c r="F33" s="18"/>
      <c r="G33" s="9"/>
      <c r="H33" s="10"/>
      <c r="I33" s="10"/>
      <c r="J33" s="76"/>
      <c r="K33" s="2" t="str">
        <f t="shared" si="0"/>
        <v>Failed!</v>
      </c>
      <c r="L33" s="53"/>
      <c r="M33" s="42"/>
      <c r="N33" s="42"/>
      <c r="O33" s="42"/>
      <c r="P33" s="42"/>
      <c r="Q33" s="42"/>
    </row>
    <row r="34" spans="1:17" x14ac:dyDescent="0.35">
      <c r="A34" s="41"/>
      <c r="B34" s="42"/>
      <c r="C34" s="11"/>
      <c r="D34" s="11"/>
      <c r="E34" s="3"/>
      <c r="F34" s="18"/>
      <c r="G34" s="9"/>
      <c r="H34" s="10"/>
      <c r="I34" s="10"/>
      <c r="J34" s="76"/>
      <c r="K34" s="2" t="str">
        <f t="shared" si="0"/>
        <v>Failed!</v>
      </c>
      <c r="L34" s="53"/>
      <c r="M34" s="42"/>
      <c r="N34" s="42"/>
      <c r="O34" s="42"/>
      <c r="P34" s="42"/>
      <c r="Q34" s="42"/>
    </row>
    <row r="35" spans="1:17" x14ac:dyDescent="0.35">
      <c r="A35" s="41"/>
      <c r="B35" s="42"/>
      <c r="C35" s="11"/>
      <c r="D35" s="11"/>
      <c r="E35" s="3"/>
      <c r="F35" s="18"/>
      <c r="G35" s="9"/>
      <c r="H35" s="10"/>
      <c r="I35" s="10"/>
      <c r="J35" s="76"/>
      <c r="K35" s="2" t="str">
        <f t="shared" si="0"/>
        <v>Failed!</v>
      </c>
      <c r="L35" s="53"/>
      <c r="M35" s="42"/>
      <c r="N35" s="42"/>
      <c r="O35" s="42"/>
      <c r="P35" s="42"/>
      <c r="Q35" s="42"/>
    </row>
    <row r="36" spans="1:17" x14ac:dyDescent="0.35">
      <c r="A36" s="41"/>
      <c r="B36" s="42"/>
      <c r="C36" s="11"/>
      <c r="D36" s="11"/>
      <c r="E36" s="3"/>
      <c r="F36" s="18"/>
      <c r="G36" s="9"/>
      <c r="H36" s="10"/>
      <c r="I36" s="10"/>
      <c r="J36" s="76"/>
      <c r="K36" s="2" t="str">
        <f t="shared" si="0"/>
        <v>Failed!</v>
      </c>
      <c r="L36" s="53"/>
      <c r="M36" s="42"/>
      <c r="N36" s="42"/>
      <c r="O36" s="42"/>
      <c r="P36" s="42"/>
      <c r="Q36" s="42"/>
    </row>
    <row r="37" spans="1:17" x14ac:dyDescent="0.35">
      <c r="A37" s="41"/>
      <c r="B37" s="42"/>
      <c r="C37" s="11"/>
      <c r="D37" s="11"/>
      <c r="E37" s="3"/>
      <c r="F37" s="18"/>
      <c r="G37" s="9"/>
      <c r="H37" s="10"/>
      <c r="I37" s="10"/>
      <c r="J37" s="76"/>
      <c r="K37" s="2" t="str">
        <f t="shared" si="0"/>
        <v>Failed!</v>
      </c>
      <c r="L37" s="53"/>
      <c r="M37" s="42"/>
      <c r="N37" s="42"/>
      <c r="O37" s="42"/>
      <c r="P37" s="42"/>
      <c r="Q37" s="42"/>
    </row>
    <row r="38" spans="1:17" x14ac:dyDescent="0.35">
      <c r="A38" s="41"/>
      <c r="B38" s="42"/>
      <c r="C38" s="11"/>
      <c r="D38" s="11"/>
      <c r="E38" s="3"/>
      <c r="F38" s="18"/>
      <c r="G38" s="9"/>
      <c r="H38" s="10"/>
      <c r="I38" s="10"/>
      <c r="J38" s="76"/>
      <c r="K38" s="2" t="str">
        <f t="shared" si="0"/>
        <v>Failed!</v>
      </c>
      <c r="L38" s="53"/>
      <c r="M38" s="42"/>
      <c r="N38" s="42"/>
      <c r="O38" s="42"/>
      <c r="P38" s="42"/>
      <c r="Q38" s="42"/>
    </row>
    <row r="39" spans="1:17" x14ac:dyDescent="0.35">
      <c r="A39" s="41"/>
      <c r="B39" s="42"/>
      <c r="C39" s="11"/>
      <c r="D39" s="11"/>
      <c r="E39" s="3"/>
      <c r="F39" s="18"/>
      <c r="G39" s="9"/>
      <c r="H39" s="10"/>
      <c r="I39" s="10"/>
      <c r="J39" s="76"/>
      <c r="K39" s="2" t="str">
        <f t="shared" si="0"/>
        <v>Failed!</v>
      </c>
      <c r="L39" s="53"/>
      <c r="M39" s="42"/>
      <c r="N39" s="42"/>
      <c r="O39" s="42"/>
      <c r="P39" s="42"/>
      <c r="Q39" s="42"/>
    </row>
    <row r="40" spans="1:17" x14ac:dyDescent="0.35">
      <c r="A40" s="41"/>
      <c r="B40" s="42"/>
      <c r="C40" s="11"/>
      <c r="D40" s="11"/>
      <c r="E40" s="3"/>
      <c r="F40" s="18"/>
      <c r="G40" s="9"/>
      <c r="H40" s="10"/>
      <c r="I40" s="10"/>
      <c r="J40" s="76"/>
      <c r="K40" s="2" t="str">
        <f t="shared" si="0"/>
        <v>Failed!</v>
      </c>
      <c r="L40" s="53"/>
      <c r="M40" s="42"/>
      <c r="N40" s="42"/>
      <c r="O40" s="42"/>
      <c r="P40" s="42"/>
      <c r="Q40" s="42"/>
    </row>
    <row r="41" spans="1:17" x14ac:dyDescent="0.35">
      <c r="A41" s="41"/>
      <c r="B41" s="42"/>
      <c r="C41" s="11"/>
      <c r="D41" s="11"/>
      <c r="E41" s="3"/>
      <c r="F41" s="18"/>
      <c r="G41" s="9"/>
      <c r="H41" s="10"/>
      <c r="I41" s="10"/>
      <c r="J41" s="76"/>
      <c r="K41" s="2" t="str">
        <f t="shared" si="0"/>
        <v>Failed!</v>
      </c>
      <c r="L41" s="53"/>
      <c r="M41" s="42"/>
      <c r="N41" s="42"/>
      <c r="O41" s="42"/>
      <c r="P41" s="42"/>
      <c r="Q41" s="42"/>
    </row>
    <row r="42" spans="1:17" x14ac:dyDescent="0.35">
      <c r="A42" s="41"/>
      <c r="B42" s="42"/>
      <c r="C42" s="11"/>
      <c r="D42" s="11"/>
      <c r="E42" s="3"/>
      <c r="F42" s="18"/>
      <c r="G42" s="9"/>
      <c r="H42" s="10"/>
      <c r="I42" s="10"/>
      <c r="J42" s="76"/>
      <c r="K42" s="2" t="str">
        <f t="shared" si="0"/>
        <v>Failed!</v>
      </c>
      <c r="L42" s="53"/>
      <c r="M42" s="42"/>
      <c r="N42" s="42"/>
      <c r="O42" s="42"/>
      <c r="P42" s="42"/>
      <c r="Q42" s="42"/>
    </row>
    <row r="43" spans="1:17" x14ac:dyDescent="0.35">
      <c r="A43" s="41"/>
      <c r="B43" s="42"/>
      <c r="C43" s="11"/>
      <c r="D43" s="11"/>
      <c r="E43" s="3"/>
      <c r="F43" s="18"/>
      <c r="G43" s="9"/>
      <c r="H43" s="10"/>
      <c r="I43" s="10"/>
      <c r="J43" s="76"/>
      <c r="K43" s="2" t="str">
        <f t="shared" si="0"/>
        <v>Failed!</v>
      </c>
      <c r="L43" s="53"/>
      <c r="M43" s="42"/>
      <c r="N43" s="42"/>
      <c r="O43" s="42"/>
      <c r="P43" s="42"/>
      <c r="Q43" s="42"/>
    </row>
    <row r="44" spans="1:17" x14ac:dyDescent="0.35">
      <c r="A44" s="41"/>
      <c r="B44" s="42"/>
      <c r="C44" s="11"/>
      <c r="D44" s="11"/>
      <c r="E44" s="3"/>
      <c r="F44" s="18"/>
      <c r="G44" s="9"/>
      <c r="H44" s="10"/>
      <c r="I44" s="10"/>
      <c r="J44" s="76"/>
      <c r="K44" s="2" t="str">
        <f t="shared" si="0"/>
        <v>Failed!</v>
      </c>
      <c r="L44" s="53"/>
      <c r="M44" s="42"/>
      <c r="N44" s="42"/>
      <c r="O44" s="42"/>
      <c r="P44" s="42"/>
      <c r="Q44" s="42"/>
    </row>
    <row r="45" spans="1:17" x14ac:dyDescent="0.35">
      <c r="A45" s="41"/>
      <c r="B45" s="42"/>
      <c r="C45" s="11"/>
      <c r="D45" s="11"/>
      <c r="E45" s="3"/>
      <c r="F45" s="18"/>
      <c r="G45" s="9"/>
      <c r="H45" s="10"/>
      <c r="I45" s="10"/>
      <c r="J45" s="76"/>
      <c r="K45" s="2" t="str">
        <f t="shared" si="0"/>
        <v>Failed!</v>
      </c>
      <c r="L45" s="53"/>
      <c r="M45" s="42"/>
      <c r="N45" s="42"/>
      <c r="O45" s="42"/>
      <c r="P45" s="42"/>
      <c r="Q45" s="42"/>
    </row>
    <row r="46" spans="1:17" x14ac:dyDescent="0.35">
      <c r="A46" s="41"/>
      <c r="B46" s="42"/>
      <c r="C46" s="11"/>
      <c r="D46" s="11"/>
      <c r="E46" s="3"/>
      <c r="F46" s="18"/>
      <c r="G46" s="9"/>
      <c r="H46" s="10"/>
      <c r="I46" s="10"/>
      <c r="J46" s="76"/>
      <c r="K46" s="2" t="str">
        <f t="shared" si="0"/>
        <v>Failed!</v>
      </c>
      <c r="L46" s="53"/>
      <c r="M46" s="42"/>
      <c r="N46" s="42"/>
      <c r="O46" s="42"/>
      <c r="P46" s="42"/>
      <c r="Q46" s="42"/>
    </row>
    <row r="47" spans="1:17" x14ac:dyDescent="0.35">
      <c r="A47" s="41"/>
      <c r="B47" s="42"/>
      <c r="C47" s="11"/>
      <c r="D47" s="11"/>
      <c r="E47" s="3"/>
      <c r="F47" s="18"/>
      <c r="G47" s="9"/>
      <c r="H47" s="10"/>
      <c r="I47" s="10"/>
      <c r="J47" s="76"/>
      <c r="K47" s="2" t="str">
        <f t="shared" si="0"/>
        <v>Failed!</v>
      </c>
      <c r="L47" s="53"/>
      <c r="M47" s="42"/>
      <c r="N47" s="42"/>
      <c r="O47" s="42"/>
      <c r="P47" s="42"/>
      <c r="Q47" s="42"/>
    </row>
    <row r="48" spans="1:17" x14ac:dyDescent="0.35">
      <c r="A48" s="41"/>
      <c r="B48" s="42"/>
      <c r="C48" s="11"/>
      <c r="D48" s="11"/>
      <c r="E48" s="3"/>
      <c r="F48" s="18"/>
      <c r="G48" s="9"/>
      <c r="H48" s="10"/>
      <c r="I48" s="10"/>
      <c r="J48" s="76"/>
      <c r="K48" s="2" t="str">
        <f t="shared" si="0"/>
        <v>Failed!</v>
      </c>
      <c r="L48" s="53"/>
      <c r="M48" s="42"/>
      <c r="N48" s="42"/>
      <c r="O48" s="42"/>
      <c r="P48" s="42"/>
      <c r="Q48" s="42"/>
    </row>
    <row r="49" spans="1:17" x14ac:dyDescent="0.35">
      <c r="A49" s="41"/>
      <c r="B49" s="42"/>
      <c r="C49" s="11"/>
      <c r="D49" s="11"/>
      <c r="E49" s="3"/>
      <c r="F49" s="18"/>
      <c r="G49" s="9"/>
      <c r="H49" s="10"/>
      <c r="I49" s="10"/>
      <c r="J49" s="76"/>
      <c r="K49" s="2" t="str">
        <f t="shared" si="0"/>
        <v>Failed!</v>
      </c>
      <c r="L49" s="53"/>
      <c r="M49" s="42"/>
      <c r="N49" s="42"/>
      <c r="O49" s="42"/>
      <c r="P49" s="42"/>
      <c r="Q49" s="42"/>
    </row>
    <row r="50" spans="1:17" x14ac:dyDescent="0.35">
      <c r="A50" s="41"/>
      <c r="B50" s="42"/>
      <c r="C50" s="11"/>
      <c r="D50" s="11"/>
      <c r="E50" s="3"/>
      <c r="F50" s="19"/>
      <c r="G50" s="1"/>
      <c r="H50" s="12"/>
      <c r="I50" s="12"/>
      <c r="J50" s="77"/>
      <c r="K50" s="2" t="str">
        <f t="shared" si="0"/>
        <v>Failed!</v>
      </c>
      <c r="L50" s="53"/>
      <c r="M50" s="42"/>
      <c r="N50" s="42"/>
      <c r="O50" s="42"/>
      <c r="P50" s="42"/>
      <c r="Q50" s="42"/>
    </row>
    <row r="51" spans="1:17" x14ac:dyDescent="0.35">
      <c r="A51" s="41"/>
      <c r="B51" s="42"/>
      <c r="C51" s="11"/>
      <c r="D51" s="11"/>
      <c r="E51" s="3"/>
      <c r="F51" s="19"/>
      <c r="G51" s="1"/>
      <c r="H51" s="12"/>
      <c r="I51" s="12"/>
      <c r="J51" s="77"/>
      <c r="K51" s="2" t="str">
        <f t="shared" si="0"/>
        <v>Failed!</v>
      </c>
      <c r="L51" s="53"/>
      <c r="M51" s="42"/>
      <c r="N51" s="42"/>
      <c r="O51" s="42"/>
      <c r="P51" s="42"/>
      <c r="Q51" s="42"/>
    </row>
    <row r="52" spans="1:17" x14ac:dyDescent="0.35">
      <c r="A52" s="41"/>
      <c r="B52" s="42"/>
      <c r="C52" s="11"/>
      <c r="D52" s="11"/>
      <c r="E52" s="3"/>
      <c r="F52" s="19"/>
      <c r="G52" s="1"/>
      <c r="H52" s="12"/>
      <c r="I52" s="12"/>
      <c r="J52" s="77"/>
      <c r="K52" s="2" t="str">
        <f t="shared" si="0"/>
        <v>Failed!</v>
      </c>
      <c r="L52" s="53"/>
      <c r="M52" s="42"/>
      <c r="N52" s="42"/>
      <c r="O52" s="42"/>
      <c r="P52" s="42"/>
      <c r="Q52" s="42"/>
    </row>
    <row r="53" spans="1:17" x14ac:dyDescent="0.35">
      <c r="A53" s="41"/>
      <c r="B53" s="42"/>
      <c r="C53" s="11"/>
      <c r="D53" s="11"/>
      <c r="E53" s="3"/>
      <c r="F53" s="19"/>
      <c r="G53" s="1"/>
      <c r="H53" s="12"/>
      <c r="I53" s="12"/>
      <c r="J53" s="77"/>
      <c r="K53" s="2" t="str">
        <f t="shared" si="0"/>
        <v>Failed!</v>
      </c>
      <c r="L53" s="53"/>
      <c r="M53" s="42"/>
      <c r="N53" s="42"/>
      <c r="O53" s="42"/>
      <c r="P53" s="42"/>
      <c r="Q53" s="42"/>
    </row>
    <row r="54" spans="1:17" x14ac:dyDescent="0.35">
      <c r="A54" s="41"/>
      <c r="B54" s="42"/>
      <c r="C54" s="11"/>
      <c r="D54" s="11"/>
      <c r="E54" s="3"/>
      <c r="F54" s="19"/>
      <c r="G54" s="1"/>
      <c r="H54" s="12"/>
      <c r="I54" s="12"/>
      <c r="J54" s="77"/>
      <c r="K54" s="2" t="str">
        <f t="shared" si="0"/>
        <v>Failed!</v>
      </c>
      <c r="L54" s="53"/>
      <c r="M54" s="42"/>
      <c r="N54" s="42"/>
      <c r="O54" s="42"/>
      <c r="P54" s="42"/>
      <c r="Q54" s="42"/>
    </row>
    <row r="55" spans="1:17" x14ac:dyDescent="0.35">
      <c r="A55" s="41"/>
      <c r="B55" s="42"/>
      <c r="C55" s="11"/>
      <c r="D55" s="11"/>
      <c r="E55" s="3"/>
      <c r="F55" s="19"/>
      <c r="G55" s="1"/>
      <c r="H55" s="12"/>
      <c r="I55" s="12"/>
      <c r="J55" s="77"/>
      <c r="K55" s="2" t="str">
        <f t="shared" si="0"/>
        <v>Failed!</v>
      </c>
      <c r="L55" s="53"/>
      <c r="M55" s="42"/>
      <c r="N55" s="42"/>
      <c r="O55" s="42"/>
      <c r="P55" s="42"/>
      <c r="Q55" s="42"/>
    </row>
    <row r="56" spans="1:17" x14ac:dyDescent="0.35">
      <c r="A56" s="41"/>
      <c r="B56" s="42"/>
      <c r="C56" s="11"/>
      <c r="D56" s="11"/>
      <c r="E56" s="3"/>
      <c r="F56" s="19"/>
      <c r="G56" s="1"/>
      <c r="H56" s="12"/>
      <c r="I56" s="12"/>
      <c r="J56" s="77"/>
      <c r="K56" s="2" t="str">
        <f t="shared" si="0"/>
        <v>Failed!</v>
      </c>
      <c r="L56" s="53"/>
      <c r="M56" s="42"/>
      <c r="N56" s="42"/>
      <c r="O56" s="42"/>
      <c r="P56" s="42"/>
      <c r="Q56" s="42"/>
    </row>
    <row r="57" spans="1:17" x14ac:dyDescent="0.35">
      <c r="A57" s="41"/>
      <c r="B57" s="42"/>
      <c r="C57" s="11"/>
      <c r="D57" s="11"/>
      <c r="E57" s="3"/>
      <c r="F57" s="19"/>
      <c r="G57" s="1"/>
      <c r="H57" s="12"/>
      <c r="I57" s="12"/>
      <c r="J57" s="77"/>
      <c r="K57" s="2" t="str">
        <f t="shared" si="0"/>
        <v>Failed!</v>
      </c>
      <c r="L57" s="53"/>
      <c r="M57" s="42"/>
      <c r="N57" s="42"/>
      <c r="O57" s="42"/>
      <c r="P57" s="42"/>
      <c r="Q57" s="42"/>
    </row>
    <row r="58" spans="1:17" x14ac:dyDescent="0.35">
      <c r="A58" s="41"/>
      <c r="B58" s="42"/>
      <c r="C58" s="11"/>
      <c r="D58" s="11"/>
      <c r="E58" s="3"/>
      <c r="F58" s="19"/>
      <c r="G58" s="1"/>
      <c r="H58" s="12"/>
      <c r="I58" s="12"/>
      <c r="J58" s="77"/>
      <c r="K58" s="2" t="str">
        <f t="shared" si="0"/>
        <v>Failed!</v>
      </c>
      <c r="L58" s="53"/>
      <c r="M58" s="42"/>
      <c r="N58" s="42"/>
      <c r="O58" s="42"/>
      <c r="P58" s="42"/>
      <c r="Q58" s="42"/>
    </row>
    <row r="59" spans="1:17" x14ac:dyDescent="0.35">
      <c r="A59" s="41"/>
      <c r="B59" s="42"/>
      <c r="C59" s="11"/>
      <c r="D59" s="11"/>
      <c r="E59" s="3"/>
      <c r="F59" s="19"/>
      <c r="G59" s="1"/>
      <c r="H59" s="12"/>
      <c r="I59" s="12"/>
      <c r="J59" s="77"/>
      <c r="K59" s="2" t="str">
        <f t="shared" si="0"/>
        <v>Failed!</v>
      </c>
      <c r="L59" s="53"/>
      <c r="M59" s="42"/>
      <c r="N59" s="42"/>
      <c r="O59" s="42"/>
      <c r="P59" s="42"/>
      <c r="Q59" s="42"/>
    </row>
    <row r="60" spans="1:17" x14ac:dyDescent="0.35">
      <c r="A60" s="41"/>
      <c r="B60" s="42"/>
      <c r="C60" s="11"/>
      <c r="D60" s="11"/>
      <c r="E60" s="3"/>
      <c r="F60" s="18"/>
      <c r="G60" s="9"/>
      <c r="H60" s="10"/>
      <c r="I60" s="10"/>
      <c r="J60" s="76"/>
      <c r="K60" s="2" t="str">
        <f t="shared" si="0"/>
        <v>Failed!</v>
      </c>
      <c r="L60" s="53"/>
      <c r="M60" s="42"/>
      <c r="N60" s="42"/>
      <c r="O60" s="42"/>
      <c r="P60" s="42"/>
      <c r="Q60" s="42"/>
    </row>
    <row r="61" spans="1:17" x14ac:dyDescent="0.35">
      <c r="A61" s="41"/>
      <c r="B61" s="42"/>
      <c r="C61" s="11"/>
      <c r="D61" s="11"/>
      <c r="E61" s="3"/>
      <c r="F61" s="18"/>
      <c r="G61" s="9"/>
      <c r="H61" s="10"/>
      <c r="I61" s="10"/>
      <c r="J61" s="76"/>
      <c r="K61" s="2" t="str">
        <f t="shared" si="0"/>
        <v>Failed!</v>
      </c>
      <c r="L61" s="53"/>
      <c r="M61" s="42"/>
      <c r="N61" s="42"/>
      <c r="O61" s="42"/>
      <c r="P61" s="42"/>
      <c r="Q61" s="42"/>
    </row>
    <row r="62" spans="1:17" x14ac:dyDescent="0.35">
      <c r="A62" s="41"/>
      <c r="B62" s="42"/>
      <c r="C62" s="11"/>
      <c r="D62" s="11"/>
      <c r="E62" s="3"/>
      <c r="F62" s="18"/>
      <c r="G62" s="9"/>
      <c r="H62" s="10"/>
      <c r="I62" s="10"/>
      <c r="J62" s="76"/>
      <c r="K62" s="2" t="str">
        <f t="shared" si="0"/>
        <v>Failed!</v>
      </c>
      <c r="L62" s="53"/>
      <c r="M62" s="42"/>
      <c r="N62" s="42"/>
      <c r="O62" s="42"/>
      <c r="P62" s="42"/>
      <c r="Q62" s="42"/>
    </row>
    <row r="63" spans="1:17" x14ac:dyDescent="0.35">
      <c r="A63" s="41"/>
      <c r="B63" s="42"/>
      <c r="C63" s="11"/>
      <c r="D63" s="11"/>
      <c r="E63" s="3"/>
      <c r="F63" s="18"/>
      <c r="G63" s="9"/>
      <c r="H63" s="10"/>
      <c r="I63" s="10"/>
      <c r="J63" s="76"/>
      <c r="K63" s="2" t="str">
        <f t="shared" si="0"/>
        <v>Failed!</v>
      </c>
      <c r="L63" s="53"/>
      <c r="M63" s="42"/>
      <c r="N63" s="42"/>
      <c r="O63" s="42"/>
      <c r="P63" s="42"/>
      <c r="Q63" s="42"/>
    </row>
    <row r="64" spans="1:17" x14ac:dyDescent="0.35">
      <c r="A64" s="41"/>
      <c r="B64" s="42"/>
      <c r="C64" s="11"/>
      <c r="D64" s="11"/>
      <c r="E64" s="3"/>
      <c r="F64" s="18"/>
      <c r="G64" s="9"/>
      <c r="H64" s="10"/>
      <c r="I64" s="10"/>
      <c r="J64" s="76"/>
      <c r="K64" s="2" t="str">
        <f t="shared" si="0"/>
        <v>Failed!</v>
      </c>
      <c r="L64" s="53"/>
      <c r="M64" s="42"/>
      <c r="N64" s="42"/>
      <c r="O64" s="42"/>
      <c r="P64" s="42"/>
      <c r="Q64" s="42"/>
    </row>
    <row r="65" spans="1:17" x14ac:dyDescent="0.35">
      <c r="A65" s="41"/>
      <c r="B65" s="42"/>
      <c r="C65" s="11"/>
      <c r="D65" s="11"/>
      <c r="E65" s="3"/>
      <c r="F65" s="18"/>
      <c r="G65" s="9"/>
      <c r="H65" s="10"/>
      <c r="I65" s="10"/>
      <c r="J65" s="76"/>
      <c r="K65" s="2" t="str">
        <f t="shared" si="0"/>
        <v>Failed!</v>
      </c>
      <c r="L65" s="53"/>
      <c r="M65" s="42"/>
      <c r="N65" s="42"/>
      <c r="O65" s="42"/>
      <c r="P65" s="42"/>
      <c r="Q65" s="42"/>
    </row>
    <row r="66" spans="1:17" x14ac:dyDescent="0.35">
      <c r="A66" s="41"/>
      <c r="B66" s="42"/>
      <c r="C66" s="11"/>
      <c r="D66" s="11"/>
      <c r="E66" s="3"/>
      <c r="F66" s="18"/>
      <c r="G66" s="9"/>
      <c r="H66" s="10"/>
      <c r="I66" s="10"/>
      <c r="J66" s="76"/>
      <c r="K66" s="2" t="str">
        <f t="shared" si="0"/>
        <v>Failed!</v>
      </c>
      <c r="L66" s="53"/>
      <c r="M66" s="42"/>
      <c r="N66" s="42"/>
      <c r="O66" s="42"/>
      <c r="P66" s="42"/>
      <c r="Q66" s="42"/>
    </row>
    <row r="67" spans="1:17" x14ac:dyDescent="0.35">
      <c r="A67" s="41"/>
      <c r="B67" s="42"/>
      <c r="C67" s="11"/>
      <c r="D67" s="11"/>
      <c r="E67" s="3"/>
      <c r="F67" s="18"/>
      <c r="G67" s="9"/>
      <c r="H67" s="10"/>
      <c r="I67" s="10"/>
      <c r="J67" s="76"/>
      <c r="K67" s="2" t="str">
        <f t="shared" si="0"/>
        <v>Failed!</v>
      </c>
      <c r="L67" s="53"/>
      <c r="M67" s="42"/>
      <c r="N67" s="42"/>
      <c r="O67" s="42"/>
      <c r="P67" s="42"/>
      <c r="Q67" s="42"/>
    </row>
    <row r="68" spans="1:17" x14ac:dyDescent="0.35">
      <c r="A68" s="41"/>
      <c r="B68" s="42"/>
      <c r="C68" s="11"/>
      <c r="D68" s="11"/>
      <c r="E68" s="3"/>
      <c r="F68" s="18"/>
      <c r="G68" s="9"/>
      <c r="H68" s="10"/>
      <c r="I68" s="10"/>
      <c r="J68" s="76"/>
      <c r="K68" s="2" t="str">
        <f t="shared" si="0"/>
        <v>Failed!</v>
      </c>
      <c r="L68" s="53"/>
      <c r="M68" s="42"/>
      <c r="N68" s="42"/>
      <c r="O68" s="42"/>
      <c r="P68" s="42"/>
      <c r="Q68" s="42"/>
    </row>
    <row r="69" spans="1:17" x14ac:dyDescent="0.35">
      <c r="A69" s="41"/>
      <c r="B69" s="42"/>
      <c r="C69" s="11"/>
      <c r="D69" s="11"/>
      <c r="E69" s="3"/>
      <c r="F69" s="18"/>
      <c r="G69" s="9"/>
      <c r="H69" s="10"/>
      <c r="I69" s="10"/>
      <c r="J69" s="76"/>
      <c r="K69" s="2" t="str">
        <f t="shared" si="0"/>
        <v>Failed!</v>
      </c>
      <c r="L69" s="53"/>
      <c r="M69" s="42"/>
      <c r="N69" s="42"/>
      <c r="O69" s="42"/>
      <c r="P69" s="42"/>
      <c r="Q69" s="42"/>
    </row>
    <row r="70" spans="1:17" x14ac:dyDescent="0.35">
      <c r="A70" s="41"/>
      <c r="B70" s="42"/>
      <c r="C70" s="11"/>
      <c r="D70" s="11"/>
      <c r="E70" s="3"/>
      <c r="F70" s="18"/>
      <c r="G70" s="9"/>
      <c r="H70" s="10"/>
      <c r="I70" s="10"/>
      <c r="J70" s="76"/>
      <c r="K70" s="2" t="str">
        <f t="shared" si="0"/>
        <v>Failed!</v>
      </c>
      <c r="L70" s="53"/>
      <c r="M70" s="42"/>
      <c r="N70" s="42"/>
      <c r="O70" s="42"/>
      <c r="P70" s="42"/>
      <c r="Q70" s="42"/>
    </row>
    <row r="71" spans="1:17" x14ac:dyDescent="0.35">
      <c r="A71" s="41"/>
      <c r="B71" s="42"/>
      <c r="C71" s="11"/>
      <c r="D71" s="11"/>
      <c r="E71" s="3"/>
      <c r="F71" s="18"/>
      <c r="G71" s="9"/>
      <c r="H71" s="10"/>
      <c r="I71" s="10"/>
      <c r="J71" s="76"/>
      <c r="K71" s="2" t="str">
        <f t="shared" si="0"/>
        <v>Failed!</v>
      </c>
      <c r="L71" s="53"/>
      <c r="M71" s="42"/>
      <c r="N71" s="42"/>
      <c r="O71" s="42"/>
      <c r="P71" s="42"/>
      <c r="Q71" s="42"/>
    </row>
    <row r="72" spans="1:17" x14ac:dyDescent="0.35">
      <c r="A72" s="41"/>
      <c r="B72" s="42"/>
      <c r="C72" s="11"/>
      <c r="D72" s="11"/>
      <c r="E72" s="3"/>
      <c r="F72" s="18"/>
      <c r="G72" s="9"/>
      <c r="H72" s="10"/>
      <c r="I72" s="10"/>
      <c r="J72" s="76"/>
      <c r="K72" s="2" t="str">
        <f t="shared" si="0"/>
        <v>Failed!</v>
      </c>
      <c r="L72" s="53"/>
      <c r="M72" s="42"/>
      <c r="N72" s="42"/>
      <c r="O72" s="42"/>
      <c r="P72" s="42"/>
      <c r="Q72" s="42"/>
    </row>
    <row r="73" spans="1:17" x14ac:dyDescent="0.35">
      <c r="A73" s="41"/>
      <c r="B73" s="42"/>
      <c r="C73" s="11"/>
      <c r="D73" s="11"/>
      <c r="E73" s="3"/>
      <c r="F73" s="18"/>
      <c r="G73" s="9"/>
      <c r="H73" s="10"/>
      <c r="I73" s="10"/>
      <c r="J73" s="76"/>
      <c r="K73" s="2" t="str">
        <f t="shared" si="0"/>
        <v>Failed!</v>
      </c>
      <c r="L73" s="53"/>
      <c r="M73" s="42"/>
      <c r="N73" s="42"/>
      <c r="O73" s="42"/>
      <c r="P73" s="42"/>
      <c r="Q73" s="42"/>
    </row>
    <row r="74" spans="1:17" x14ac:dyDescent="0.35">
      <c r="A74" s="41"/>
      <c r="B74" s="42"/>
      <c r="C74" s="11"/>
      <c r="D74" s="11"/>
      <c r="E74" s="3"/>
      <c r="F74" s="18"/>
      <c r="G74" s="9"/>
      <c r="H74" s="10"/>
      <c r="I74" s="10"/>
      <c r="J74" s="76"/>
      <c r="K74" s="2" t="str">
        <f t="shared" si="0"/>
        <v>Failed!</v>
      </c>
      <c r="L74" s="53"/>
      <c r="M74" s="42"/>
      <c r="N74" s="42"/>
      <c r="O74" s="42"/>
      <c r="P74" s="42"/>
      <c r="Q74" s="42"/>
    </row>
    <row r="75" spans="1:17" x14ac:dyDescent="0.35">
      <c r="A75" s="41"/>
      <c r="B75" s="42"/>
      <c r="C75" s="11"/>
      <c r="D75" s="11"/>
      <c r="E75" s="3"/>
      <c r="F75" s="18"/>
      <c r="G75" s="9"/>
      <c r="H75" s="10"/>
      <c r="I75" s="10"/>
      <c r="J75" s="76"/>
      <c r="K75" s="2" t="str">
        <f t="shared" ref="K75:K89" si="1">IF(I75="-", IF(J75&lt;$K$6, "Failed!", "pass"), IF(AND(H75&gt;=$J$6, I75&gt;=$J$6, J75&gt;=$K$6), "pass", "Failed!"))</f>
        <v>Failed!</v>
      </c>
      <c r="L75" s="53"/>
      <c r="M75" s="42"/>
      <c r="N75" s="42"/>
      <c r="O75" s="42"/>
      <c r="P75" s="42"/>
      <c r="Q75" s="42"/>
    </row>
    <row r="76" spans="1:17" x14ac:dyDescent="0.35">
      <c r="A76" s="41"/>
      <c r="B76" s="42"/>
      <c r="C76" s="11"/>
      <c r="D76" s="11"/>
      <c r="E76" s="3"/>
      <c r="F76" s="18"/>
      <c r="G76" s="9"/>
      <c r="H76" s="10"/>
      <c r="I76" s="10"/>
      <c r="J76" s="76"/>
      <c r="K76" s="2" t="str">
        <f t="shared" si="1"/>
        <v>Failed!</v>
      </c>
      <c r="L76" s="53"/>
      <c r="M76" s="42"/>
      <c r="N76" s="42"/>
      <c r="O76" s="42"/>
      <c r="P76" s="42"/>
      <c r="Q76" s="42"/>
    </row>
    <row r="77" spans="1:17" x14ac:dyDescent="0.35">
      <c r="A77" s="41"/>
      <c r="B77" s="42"/>
      <c r="C77" s="11"/>
      <c r="D77" s="11"/>
      <c r="E77" s="3"/>
      <c r="F77" s="18"/>
      <c r="G77" s="9"/>
      <c r="H77" s="10"/>
      <c r="I77" s="10"/>
      <c r="J77" s="76"/>
      <c r="K77" s="2" t="str">
        <f t="shared" si="1"/>
        <v>Failed!</v>
      </c>
      <c r="L77" s="53"/>
      <c r="M77" s="42"/>
      <c r="N77" s="42"/>
      <c r="O77" s="42"/>
      <c r="P77" s="42"/>
      <c r="Q77" s="42"/>
    </row>
    <row r="78" spans="1:17" x14ac:dyDescent="0.35">
      <c r="A78" s="41"/>
      <c r="B78" s="42"/>
      <c r="C78" s="11"/>
      <c r="D78" s="11"/>
      <c r="E78" s="3"/>
      <c r="F78" s="18"/>
      <c r="G78" s="9"/>
      <c r="H78" s="10"/>
      <c r="I78" s="10"/>
      <c r="J78" s="76"/>
      <c r="K78" s="2" t="str">
        <f t="shared" si="1"/>
        <v>Failed!</v>
      </c>
      <c r="L78" s="53"/>
      <c r="M78" s="42"/>
      <c r="N78" s="42"/>
      <c r="O78" s="42"/>
      <c r="P78" s="42"/>
      <c r="Q78" s="42"/>
    </row>
    <row r="79" spans="1:17" x14ac:dyDescent="0.35">
      <c r="A79" s="41"/>
      <c r="B79" s="42"/>
      <c r="C79" s="11"/>
      <c r="D79" s="11"/>
      <c r="E79" s="3"/>
      <c r="F79" s="18"/>
      <c r="G79" s="9"/>
      <c r="H79" s="10"/>
      <c r="I79" s="10"/>
      <c r="J79" s="76"/>
      <c r="K79" s="2" t="str">
        <f t="shared" si="1"/>
        <v>Failed!</v>
      </c>
      <c r="L79" s="53"/>
      <c r="M79" s="42"/>
      <c r="N79" s="42"/>
      <c r="O79" s="42"/>
      <c r="P79" s="42"/>
      <c r="Q79" s="42"/>
    </row>
    <row r="80" spans="1:17" x14ac:dyDescent="0.35">
      <c r="A80" s="41"/>
      <c r="B80" s="42"/>
      <c r="C80" s="11"/>
      <c r="D80" s="11"/>
      <c r="E80" s="3"/>
      <c r="F80" s="18"/>
      <c r="G80" s="9"/>
      <c r="H80" s="10"/>
      <c r="I80" s="10"/>
      <c r="J80" s="76"/>
      <c r="K80" s="2" t="str">
        <f t="shared" si="1"/>
        <v>Failed!</v>
      </c>
      <c r="L80" s="53"/>
      <c r="M80" s="42"/>
      <c r="N80" s="42"/>
      <c r="O80" s="42"/>
      <c r="P80" s="42"/>
      <c r="Q80" s="42"/>
    </row>
    <row r="81" spans="1:17" x14ac:dyDescent="0.35">
      <c r="A81" s="41"/>
      <c r="B81" s="42"/>
      <c r="C81" s="11"/>
      <c r="D81" s="11"/>
      <c r="E81" s="3"/>
      <c r="F81" s="18"/>
      <c r="G81" s="9"/>
      <c r="H81" s="10"/>
      <c r="I81" s="10"/>
      <c r="J81" s="76"/>
      <c r="K81" s="2" t="str">
        <f t="shared" si="1"/>
        <v>Failed!</v>
      </c>
      <c r="L81" s="53"/>
      <c r="M81" s="42"/>
      <c r="N81" s="42"/>
      <c r="O81" s="42"/>
      <c r="P81" s="42"/>
      <c r="Q81" s="42"/>
    </row>
    <row r="82" spans="1:17" x14ac:dyDescent="0.35">
      <c r="A82" s="41"/>
      <c r="B82" s="42"/>
      <c r="C82" s="11"/>
      <c r="D82" s="11"/>
      <c r="E82" s="3"/>
      <c r="F82" s="18"/>
      <c r="G82" s="9"/>
      <c r="H82" s="10"/>
      <c r="I82" s="10"/>
      <c r="J82" s="76"/>
      <c r="K82" s="2" t="str">
        <f t="shared" si="1"/>
        <v>Failed!</v>
      </c>
      <c r="L82" s="53"/>
      <c r="M82" s="42"/>
      <c r="N82" s="42"/>
      <c r="O82" s="42"/>
      <c r="P82" s="42"/>
      <c r="Q82" s="42"/>
    </row>
    <row r="83" spans="1:17" x14ac:dyDescent="0.35">
      <c r="A83" s="41"/>
      <c r="B83" s="42"/>
      <c r="C83" s="11"/>
      <c r="D83" s="11"/>
      <c r="E83" s="3"/>
      <c r="F83" s="18"/>
      <c r="G83" s="9"/>
      <c r="H83" s="10"/>
      <c r="I83" s="10"/>
      <c r="J83" s="76"/>
      <c r="K83" s="2" t="str">
        <f t="shared" si="1"/>
        <v>Failed!</v>
      </c>
      <c r="L83" s="53"/>
      <c r="M83" s="42"/>
      <c r="N83" s="42"/>
      <c r="O83" s="42"/>
      <c r="P83" s="42"/>
      <c r="Q83" s="42"/>
    </row>
    <row r="84" spans="1:17" x14ac:dyDescent="0.35">
      <c r="A84" s="41"/>
      <c r="B84" s="42"/>
      <c r="C84" s="11"/>
      <c r="D84" s="11"/>
      <c r="E84" s="3"/>
      <c r="F84" s="18"/>
      <c r="G84" s="9"/>
      <c r="H84" s="10"/>
      <c r="I84" s="10"/>
      <c r="J84" s="76"/>
      <c r="K84" s="2" t="str">
        <f t="shared" si="1"/>
        <v>Failed!</v>
      </c>
      <c r="L84" s="53"/>
      <c r="M84" s="42"/>
      <c r="N84" s="42"/>
      <c r="O84" s="42"/>
      <c r="P84" s="42"/>
      <c r="Q84" s="42"/>
    </row>
    <row r="85" spans="1:17" x14ac:dyDescent="0.35">
      <c r="A85" s="41"/>
      <c r="B85" s="42"/>
      <c r="C85" s="11"/>
      <c r="D85" s="11"/>
      <c r="E85" s="3"/>
      <c r="F85" s="18"/>
      <c r="G85" s="9"/>
      <c r="H85" s="10"/>
      <c r="I85" s="10"/>
      <c r="J85" s="76"/>
      <c r="K85" s="2" t="str">
        <f t="shared" si="1"/>
        <v>Failed!</v>
      </c>
      <c r="L85" s="53"/>
      <c r="M85" s="42"/>
      <c r="N85" s="42"/>
      <c r="O85" s="42"/>
      <c r="P85" s="42"/>
      <c r="Q85" s="42"/>
    </row>
    <row r="86" spans="1:17" x14ac:dyDescent="0.35">
      <c r="A86" s="41"/>
      <c r="B86" s="42"/>
      <c r="C86" s="11"/>
      <c r="D86" s="11"/>
      <c r="E86" s="3"/>
      <c r="F86" s="18"/>
      <c r="G86" s="9"/>
      <c r="H86" s="10"/>
      <c r="I86" s="10"/>
      <c r="J86" s="76"/>
      <c r="K86" s="2" t="str">
        <f t="shared" si="1"/>
        <v>Failed!</v>
      </c>
      <c r="L86" s="53"/>
      <c r="M86" s="42"/>
      <c r="N86" s="42"/>
      <c r="O86" s="42"/>
      <c r="P86" s="42"/>
      <c r="Q86" s="42"/>
    </row>
    <row r="87" spans="1:17" x14ac:dyDescent="0.35">
      <c r="A87" s="41"/>
      <c r="B87" s="42"/>
      <c r="C87" s="11"/>
      <c r="D87" s="11"/>
      <c r="E87" s="3"/>
      <c r="F87" s="18"/>
      <c r="G87" s="9"/>
      <c r="H87" s="10"/>
      <c r="I87" s="10"/>
      <c r="J87" s="76"/>
      <c r="K87" s="2" t="str">
        <f t="shared" si="1"/>
        <v>Failed!</v>
      </c>
      <c r="L87" s="53"/>
      <c r="M87" s="42"/>
      <c r="N87" s="42"/>
      <c r="O87" s="42"/>
      <c r="P87" s="42"/>
      <c r="Q87" s="42"/>
    </row>
    <row r="88" spans="1:17" x14ac:dyDescent="0.35">
      <c r="A88" s="41"/>
      <c r="B88" s="42"/>
      <c r="C88" s="11"/>
      <c r="D88" s="11"/>
      <c r="E88" s="3"/>
      <c r="F88" s="18"/>
      <c r="G88" s="9"/>
      <c r="H88" s="10"/>
      <c r="I88" s="10"/>
      <c r="J88" s="76"/>
      <c r="K88" s="2" t="str">
        <f t="shared" si="1"/>
        <v>Failed!</v>
      </c>
      <c r="L88" s="53"/>
      <c r="M88" s="42"/>
      <c r="N88" s="42"/>
      <c r="O88" s="42"/>
      <c r="P88" s="42"/>
      <c r="Q88" s="42"/>
    </row>
    <row r="89" spans="1:17" x14ac:dyDescent="0.35">
      <c r="A89" s="41"/>
      <c r="B89" s="42"/>
      <c r="C89" s="11"/>
      <c r="D89" s="11"/>
      <c r="E89" s="3"/>
      <c r="F89" s="18"/>
      <c r="G89" s="9"/>
      <c r="H89" s="10"/>
      <c r="I89" s="10"/>
      <c r="J89" s="76"/>
      <c r="K89" s="2" t="str">
        <f t="shared" si="1"/>
        <v>Failed!</v>
      </c>
      <c r="L89" s="53"/>
      <c r="M89" s="42"/>
      <c r="N89" s="42"/>
      <c r="O89" s="42"/>
      <c r="P89" s="42"/>
      <c r="Q89" s="42"/>
    </row>
    <row r="91" spans="1:17" x14ac:dyDescent="0.35">
      <c r="F91" s="4">
        <f>COUNTA(F10:F89)</f>
        <v>0</v>
      </c>
      <c r="G91" s="2" t="s">
        <v>14</v>
      </c>
      <c r="H91" s="40">
        <f>MAX(H10:H89)</f>
        <v>0</v>
      </c>
      <c r="I91" s="40">
        <f>MAX(I10:I89)</f>
        <v>0</v>
      </c>
      <c r="J91" s="40">
        <f>MAX(J10:J89)</f>
        <v>0</v>
      </c>
    </row>
    <row r="92" spans="1:17" x14ac:dyDescent="0.35">
      <c r="G92" s="2" t="s">
        <v>12</v>
      </c>
      <c r="H92" s="40" t="e">
        <f>AVERAGE(H10:H89)</f>
        <v>#DIV/0!</v>
      </c>
      <c r="I92" s="40" t="e">
        <f>AVERAGE(I10:I89)</f>
        <v>#DIV/0!</v>
      </c>
      <c r="J92" s="40" t="e">
        <f>AVERAGE(J10:J89)</f>
        <v>#DIV/0!</v>
      </c>
    </row>
    <row r="93" spans="1:17" x14ac:dyDescent="0.35">
      <c r="G93" s="2" t="s">
        <v>15</v>
      </c>
      <c r="H93" s="40">
        <f>MIN(H10:H89)</f>
        <v>0</v>
      </c>
      <c r="I93" s="40">
        <f>MIN(I10:I89)</f>
        <v>0</v>
      </c>
      <c r="J93" s="40">
        <f>MIN(J10:J89)</f>
        <v>0</v>
      </c>
    </row>
    <row r="94" spans="1:17" x14ac:dyDescent="0.35">
      <c r="G94" s="2" t="s">
        <v>13</v>
      </c>
      <c r="H94" s="40" t="e">
        <f>STDEV(H10:H89)</f>
        <v>#DIV/0!</v>
      </c>
      <c r="I94" s="40" t="e">
        <f>STDEV(I10:I89)</f>
        <v>#DIV/0!</v>
      </c>
      <c r="J94" s="40" t="e">
        <f>STDEV(J10:J89)</f>
        <v>#DIV/0!</v>
      </c>
    </row>
    <row r="95" spans="1:17" x14ac:dyDescent="0.35">
      <c r="G95" s="2" t="str">
        <f>"Failed count ( &lt; " &amp; K6 &amp; " )"</f>
        <v>Failed count ( &lt; 40 )</v>
      </c>
      <c r="H95" s="50">
        <f>COUNTIF(H10:H89, "&lt;40")</f>
        <v>0</v>
      </c>
      <c r="I95" s="50">
        <f>COUNTIF(I10:I89, "&lt;40")</f>
        <v>0</v>
      </c>
      <c r="J95" s="50">
        <f>COUNTIF(J10:J89, "&lt;40")</f>
        <v>0</v>
      </c>
    </row>
    <row r="96" spans="1:17" x14ac:dyDescent="0.35">
      <c r="G96" s="2" t="s">
        <v>16</v>
      </c>
      <c r="H96" s="49" t="e">
        <f>1-H95/$F91</f>
        <v>#DIV/0!</v>
      </c>
      <c r="I96" s="49" t="e">
        <f>1-I95/$F91</f>
        <v>#DIV/0!</v>
      </c>
      <c r="J96" s="49" t="e">
        <f>1-J95/$F91</f>
        <v>#DIV/0!</v>
      </c>
    </row>
  </sheetData>
  <phoneticPr fontId="36" type="noConversion"/>
  <conditionalFormatting sqref="H10:J89">
    <cfRule type="cellIs" dxfId="84" priority="10" operator="lessThan">
      <formula>$K$6</formula>
    </cfRule>
  </conditionalFormatting>
  <conditionalFormatting sqref="F10:I89">
    <cfRule type="expression" dxfId="83" priority="11" stopIfTrue="1">
      <formula>F10=A10</formula>
    </cfRule>
    <cfRule type="expression" dxfId="82" priority="12" stopIfTrue="1">
      <formula>F10&lt;&gt;A10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16" r:id="rId4" name="Button 8">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417" r:id="rId5" name="Button 9">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17418" r:id="rId6" name="Button 10">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mc:AlternateContent xmlns:mc="http://schemas.openxmlformats.org/markup-compatibility/2006">
          <mc:Choice Requires="x14">
            <control shapeId="17420" r:id="rId7" name="Button 12">
              <controlPr defaultSize="0" print="0" autoFill="0" autoPict="0" macro="[0]!ImportEO_Excel">
                <anchor moveWithCells="1" sizeWithCells="1">
                  <from>
                    <xdr:col>7</xdr:col>
                    <xdr:colOff>0</xdr:colOff>
                    <xdr:row>1</xdr:row>
                    <xdr:rowOff>0</xdr:rowOff>
                  </from>
                  <to>
                    <xdr:col>8</xdr:col>
                    <xdr:colOff>609600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09"/>
  <sheetViews>
    <sheetView zoomScaleNormal="100" workbookViewId="0">
      <pane xSplit="1" ySplit="9" topLeftCell="J10" activePane="bottomRight" state="frozen"/>
      <selection activeCell="E16" sqref="E16"/>
      <selection pane="topRight" activeCell="E16" sqref="E16"/>
      <selection pane="bottomLeft" activeCell="E16" sqref="E16"/>
      <selection pane="bottomRight" activeCell="N92" sqref="N92"/>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4</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70</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71</v>
      </c>
      <c r="C5" s="14"/>
      <c r="D5" s="16"/>
      <c r="F5" s="59" t="s">
        <v>38</v>
      </c>
      <c r="L5" s="52"/>
      <c r="M5" s="47" t="s">
        <v>49</v>
      </c>
    </row>
    <row r="6" spans="1:18" x14ac:dyDescent="0.35">
      <c r="A6" s="20" t="s">
        <v>37</v>
      </c>
      <c r="B6" s="13" t="s">
        <v>68</v>
      </c>
      <c r="C6" s="14"/>
      <c r="D6" s="16"/>
      <c r="F6" s="59" t="s">
        <v>54</v>
      </c>
      <c r="J6" s="70">
        <v>35</v>
      </c>
      <c r="K6" s="70">
        <v>40</v>
      </c>
      <c r="L6" s="52"/>
      <c r="N6" s="51" t="str">
        <f>"int120ct - bcscu.pdf"</f>
        <v>int120ct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10878369</v>
      </c>
      <c r="B10" s="42" t="s">
        <v>72</v>
      </c>
      <c r="C10" s="11">
        <v>79</v>
      </c>
      <c r="D10" s="11">
        <v>64.7</v>
      </c>
      <c r="E10" s="3"/>
      <c r="F10" s="18">
        <v>10878369</v>
      </c>
      <c r="G10" s="9" t="s">
        <v>246</v>
      </c>
      <c r="H10" s="10">
        <v>79</v>
      </c>
      <c r="I10" s="10">
        <v>64.7</v>
      </c>
      <c r="J10" s="76">
        <v>71.849999999999994</v>
      </c>
      <c r="K10" s="2" t="s">
        <v>398</v>
      </c>
      <c r="L10" s="53">
        <v>71.849999999999994</v>
      </c>
      <c r="M10" s="80">
        <v>10878369</v>
      </c>
      <c r="N10" s="42" t="s">
        <v>400</v>
      </c>
      <c r="O10" s="82">
        <v>79</v>
      </c>
      <c r="P10" s="82">
        <v>64.7</v>
      </c>
      <c r="Q10" s="82">
        <v>71.849999999999994</v>
      </c>
      <c r="R10" s="84">
        <f>ROUND(Q10 - ABS(J10), 2)</f>
        <v>0</v>
      </c>
    </row>
    <row r="11" spans="1:18" x14ac:dyDescent="0.35">
      <c r="A11" s="41">
        <v>10878358</v>
      </c>
      <c r="B11" s="43" t="s">
        <v>73</v>
      </c>
      <c r="C11" s="11">
        <v>71</v>
      </c>
      <c r="D11" s="11">
        <v>51</v>
      </c>
      <c r="E11" s="3"/>
      <c r="F11" s="18">
        <v>10878358</v>
      </c>
      <c r="G11" s="9" t="s">
        <v>247</v>
      </c>
      <c r="H11" s="10">
        <v>71</v>
      </c>
      <c r="I11" s="10">
        <v>51</v>
      </c>
      <c r="J11" s="76">
        <v>61</v>
      </c>
      <c r="K11" s="2" t="s">
        <v>398</v>
      </c>
      <c r="L11" s="53">
        <v>61</v>
      </c>
      <c r="M11" s="80">
        <v>10878358</v>
      </c>
      <c r="N11" s="42" t="s">
        <v>401</v>
      </c>
      <c r="O11" s="82">
        <v>71</v>
      </c>
      <c r="P11" s="82">
        <v>51</v>
      </c>
      <c r="Q11" s="82">
        <v>61</v>
      </c>
      <c r="R11" s="84">
        <f>ROUND(Q11 - ABS(J11), 2)</f>
        <v>0</v>
      </c>
    </row>
    <row r="12" spans="1:18" x14ac:dyDescent="0.35">
      <c r="A12" s="41">
        <v>10956427</v>
      </c>
      <c r="B12" s="42" t="s">
        <v>74</v>
      </c>
      <c r="C12" s="11">
        <v>88</v>
      </c>
      <c r="D12" s="11">
        <v>49</v>
      </c>
      <c r="E12" s="3"/>
      <c r="F12" s="18">
        <v>10956427</v>
      </c>
      <c r="G12" s="9" t="s">
        <v>248</v>
      </c>
      <c r="H12" s="10">
        <v>88</v>
      </c>
      <c r="I12" s="10">
        <v>49</v>
      </c>
      <c r="J12" s="76">
        <v>68.5</v>
      </c>
      <c r="K12" s="2" t="s">
        <v>398</v>
      </c>
      <c r="L12" s="53">
        <v>68.5</v>
      </c>
      <c r="M12" s="80">
        <v>10956427</v>
      </c>
      <c r="N12" s="42" t="s">
        <v>402</v>
      </c>
      <c r="O12" s="82">
        <v>88</v>
      </c>
      <c r="P12" s="82">
        <v>49</v>
      </c>
      <c r="Q12" s="82">
        <v>68.5</v>
      </c>
      <c r="R12" s="84">
        <f>ROUND(Q12 - ABS(J12), 2)</f>
        <v>0</v>
      </c>
    </row>
    <row r="13" spans="1:18" x14ac:dyDescent="0.35">
      <c r="A13" s="41">
        <v>11323976</v>
      </c>
      <c r="B13" s="42" t="s">
        <v>75</v>
      </c>
      <c r="C13" s="11">
        <v>80</v>
      </c>
      <c r="D13" s="11">
        <v>29</v>
      </c>
      <c r="E13" s="3"/>
      <c r="F13" s="18">
        <v>11323976</v>
      </c>
      <c r="G13" s="9" t="s">
        <v>249</v>
      </c>
      <c r="H13" s="10">
        <v>80</v>
      </c>
      <c r="I13" s="10">
        <v>29</v>
      </c>
      <c r="J13" s="76">
        <v>-54.5</v>
      </c>
      <c r="K13" s="2" t="s">
        <v>398</v>
      </c>
      <c r="L13" s="53">
        <v>54.5</v>
      </c>
      <c r="M13" s="80">
        <v>11323976</v>
      </c>
      <c r="N13" s="42" t="s">
        <v>399</v>
      </c>
      <c r="O13" s="82">
        <v>80</v>
      </c>
      <c r="P13" s="82">
        <v>29</v>
      </c>
      <c r="Q13" s="82">
        <v>54.5</v>
      </c>
      <c r="R13" s="84">
        <f>ROUND(Q13 - ABS(J13), 2)</f>
        <v>0</v>
      </c>
    </row>
    <row r="14" spans="1:18" hidden="1" x14ac:dyDescent="0.35">
      <c r="A14" s="41"/>
      <c r="B14" s="42"/>
      <c r="C14" s="11"/>
      <c r="D14" s="11"/>
      <c r="E14" s="3"/>
      <c r="F14" s="18"/>
      <c r="G14" s="9"/>
      <c r="H14" s="10"/>
      <c r="I14" s="10"/>
      <c r="J14" s="76"/>
      <c r="K14" s="2" t="str">
        <f t="shared" ref="K14:K73" si="0">IF(I14="-", IF(J14&lt;$K$6, "Failed!", "pass"), IF(AND(H14&gt;=$J$6, I14&gt;=$J$6, J14&gt;=$K$6), "pass", "Failed!"))</f>
        <v>Failed!</v>
      </c>
      <c r="L14" s="53"/>
      <c r="M14" s="80"/>
      <c r="N14" s="42"/>
      <c r="O14" s="82"/>
      <c r="P14" s="82"/>
      <c r="Q14" s="82"/>
    </row>
    <row r="15" spans="1:18" hidden="1" x14ac:dyDescent="0.35">
      <c r="A15" s="41"/>
      <c r="B15" s="42"/>
      <c r="C15" s="11"/>
      <c r="D15" s="11"/>
      <c r="E15" s="3"/>
      <c r="F15" s="18"/>
      <c r="G15" s="9"/>
      <c r="H15" s="10"/>
      <c r="I15" s="10"/>
      <c r="J15" s="76"/>
      <c r="K15" s="2" t="str">
        <f t="shared" si="0"/>
        <v>Failed!</v>
      </c>
      <c r="L15" s="53"/>
      <c r="M15" s="80"/>
      <c r="N15" s="42"/>
      <c r="O15" s="82"/>
      <c r="P15" s="82"/>
      <c r="Q15" s="82"/>
    </row>
    <row r="16" spans="1:18" hidden="1" x14ac:dyDescent="0.35">
      <c r="A16" s="41"/>
      <c r="B16" s="42"/>
      <c r="C16" s="11"/>
      <c r="D16" s="11"/>
      <c r="E16" s="3"/>
      <c r="F16" s="18"/>
      <c r="G16" s="9"/>
      <c r="H16" s="10"/>
      <c r="I16" s="10"/>
      <c r="J16" s="76"/>
      <c r="K16" s="2" t="str">
        <f t="shared" si="0"/>
        <v>Failed!</v>
      </c>
      <c r="L16" s="53"/>
      <c r="M16" s="80"/>
      <c r="N16" s="42"/>
      <c r="O16" s="82"/>
      <c r="P16" s="82"/>
      <c r="Q16" s="82"/>
    </row>
    <row r="17" spans="1:17" hidden="1" x14ac:dyDescent="0.35">
      <c r="A17" s="41"/>
      <c r="B17" s="42"/>
      <c r="C17" s="11"/>
      <c r="D17" s="11"/>
      <c r="E17" s="3"/>
      <c r="F17" s="18"/>
      <c r="G17" s="9"/>
      <c r="H17" s="10"/>
      <c r="I17" s="10"/>
      <c r="J17" s="76"/>
      <c r="K17" s="2" t="str">
        <f t="shared" si="0"/>
        <v>Failed!</v>
      </c>
      <c r="L17" s="53"/>
      <c r="M17" s="80"/>
      <c r="N17" s="42"/>
      <c r="O17" s="82"/>
      <c r="P17" s="82"/>
      <c r="Q17" s="82"/>
    </row>
    <row r="18" spans="1:17" hidden="1" x14ac:dyDescent="0.35">
      <c r="A18" s="41"/>
      <c r="B18" s="42"/>
      <c r="C18" s="11"/>
      <c r="D18" s="11"/>
      <c r="E18" s="3"/>
      <c r="F18" s="18"/>
      <c r="G18" s="9"/>
      <c r="H18" s="10"/>
      <c r="I18" s="10"/>
      <c r="J18" s="76"/>
      <c r="K18" s="2" t="str">
        <f t="shared" si="0"/>
        <v>Failed!</v>
      </c>
      <c r="L18" s="53"/>
      <c r="M18" s="80"/>
      <c r="N18" s="42"/>
      <c r="O18" s="82"/>
      <c r="P18" s="82"/>
      <c r="Q18" s="82"/>
    </row>
    <row r="19" spans="1:17" hidden="1" x14ac:dyDescent="0.35">
      <c r="A19" s="41"/>
      <c r="B19" s="42"/>
      <c r="C19" s="11"/>
      <c r="D19" s="11"/>
      <c r="E19" s="3"/>
      <c r="F19" s="18"/>
      <c r="G19" s="9"/>
      <c r="H19" s="10"/>
      <c r="I19" s="10"/>
      <c r="J19" s="76"/>
      <c r="K19" s="2" t="str">
        <f t="shared" si="0"/>
        <v>Failed!</v>
      </c>
      <c r="L19" s="53"/>
      <c r="M19" s="80"/>
      <c r="N19" s="42"/>
      <c r="O19" s="82"/>
      <c r="P19" s="82"/>
      <c r="Q19" s="82"/>
    </row>
    <row r="20" spans="1:17" hidden="1" x14ac:dyDescent="0.35">
      <c r="A20" s="41"/>
      <c r="B20" s="42"/>
      <c r="C20" s="11"/>
      <c r="D20" s="11"/>
      <c r="E20" s="3"/>
      <c r="F20" s="18"/>
      <c r="G20" s="9"/>
      <c r="H20" s="10"/>
      <c r="I20" s="10"/>
      <c r="J20" s="76"/>
      <c r="K20" s="2" t="str">
        <f t="shared" si="0"/>
        <v>Failed!</v>
      </c>
      <c r="L20" s="53"/>
      <c r="M20" s="80"/>
      <c r="N20" s="42"/>
      <c r="O20" s="82"/>
      <c r="P20" s="82"/>
      <c r="Q20" s="82"/>
    </row>
    <row r="21" spans="1:17" hidden="1" x14ac:dyDescent="0.35">
      <c r="A21" s="41"/>
      <c r="B21" s="42"/>
      <c r="C21" s="11"/>
      <c r="D21" s="11"/>
      <c r="E21" s="3"/>
      <c r="F21" s="18"/>
      <c r="G21" s="9"/>
      <c r="H21" s="10"/>
      <c r="I21" s="10"/>
      <c r="J21" s="76"/>
      <c r="K21" s="2" t="str">
        <f t="shared" si="0"/>
        <v>Failed!</v>
      </c>
      <c r="L21" s="53"/>
      <c r="M21" s="80"/>
      <c r="N21" s="42"/>
      <c r="O21" s="82"/>
      <c r="P21" s="82"/>
      <c r="Q21" s="82"/>
    </row>
    <row r="22" spans="1:17" hidden="1" x14ac:dyDescent="0.35">
      <c r="A22" s="41"/>
      <c r="B22" s="42"/>
      <c r="C22" s="11"/>
      <c r="D22" s="11"/>
      <c r="E22" s="3"/>
      <c r="F22" s="18"/>
      <c r="G22" s="9"/>
      <c r="H22" s="10"/>
      <c r="I22" s="10"/>
      <c r="J22" s="76"/>
      <c r="K22" s="2" t="str">
        <f t="shared" si="0"/>
        <v>Failed!</v>
      </c>
      <c r="L22" s="53"/>
      <c r="M22" s="80"/>
      <c r="N22" s="42"/>
      <c r="O22" s="82"/>
      <c r="P22" s="82"/>
      <c r="Q22" s="82"/>
    </row>
    <row r="23" spans="1:17" hidden="1" x14ac:dyDescent="0.35">
      <c r="A23" s="41"/>
      <c r="B23" s="42"/>
      <c r="C23" s="11"/>
      <c r="D23" s="11"/>
      <c r="E23" s="3"/>
      <c r="F23" s="18"/>
      <c r="G23" s="9"/>
      <c r="H23" s="10"/>
      <c r="I23" s="10"/>
      <c r="J23" s="76"/>
      <c r="K23" s="2" t="str">
        <f t="shared" si="0"/>
        <v>Failed!</v>
      </c>
      <c r="L23" s="53"/>
      <c r="M23" s="80"/>
      <c r="N23" s="42"/>
      <c r="O23" s="82"/>
      <c r="P23" s="82"/>
      <c r="Q23" s="82"/>
    </row>
    <row r="24" spans="1:17" hidden="1" x14ac:dyDescent="0.35">
      <c r="A24" s="41"/>
      <c r="B24" s="42"/>
      <c r="C24" s="11"/>
      <c r="D24" s="11"/>
      <c r="E24" s="3"/>
      <c r="F24" s="18"/>
      <c r="G24" s="9"/>
      <c r="H24" s="10"/>
      <c r="I24" s="10"/>
      <c r="J24" s="76"/>
      <c r="K24" s="2" t="str">
        <f t="shared" si="0"/>
        <v>Failed!</v>
      </c>
      <c r="L24" s="53"/>
      <c r="M24" s="80"/>
      <c r="N24" s="42"/>
      <c r="O24" s="82"/>
      <c r="P24" s="82"/>
      <c r="Q24" s="82"/>
    </row>
    <row r="25" spans="1:17" hidden="1" x14ac:dyDescent="0.35">
      <c r="A25" s="41"/>
      <c r="B25" s="42"/>
      <c r="C25" s="11"/>
      <c r="D25" s="11"/>
      <c r="E25" s="3"/>
      <c r="F25" s="18"/>
      <c r="G25" s="9"/>
      <c r="H25" s="10"/>
      <c r="I25" s="10"/>
      <c r="J25" s="76"/>
      <c r="K25" s="2" t="str">
        <f t="shared" si="0"/>
        <v>Failed!</v>
      </c>
      <c r="L25" s="53"/>
      <c r="M25" s="80"/>
      <c r="N25" s="42"/>
      <c r="O25" s="82"/>
      <c r="P25" s="82"/>
      <c r="Q25" s="82"/>
    </row>
    <row r="26" spans="1:17" hidden="1" x14ac:dyDescent="0.35">
      <c r="A26" s="41"/>
      <c r="B26" s="42"/>
      <c r="C26" s="11"/>
      <c r="D26" s="11"/>
      <c r="E26" s="3"/>
      <c r="F26" s="18"/>
      <c r="G26" s="9"/>
      <c r="H26" s="10"/>
      <c r="I26" s="10"/>
      <c r="J26" s="76"/>
      <c r="K26" s="2" t="str">
        <f t="shared" si="0"/>
        <v>Failed!</v>
      </c>
      <c r="L26" s="53"/>
      <c r="M26" s="80"/>
      <c r="N26" s="42"/>
      <c r="O26" s="82"/>
      <c r="P26" s="82"/>
      <c r="Q26" s="82"/>
    </row>
    <row r="27" spans="1:17" hidden="1" x14ac:dyDescent="0.35">
      <c r="A27" s="41"/>
      <c r="B27" s="42"/>
      <c r="C27" s="11"/>
      <c r="D27" s="11"/>
      <c r="E27" s="3"/>
      <c r="F27" s="18"/>
      <c r="G27" s="9"/>
      <c r="H27" s="10"/>
      <c r="I27" s="10"/>
      <c r="J27" s="76"/>
      <c r="K27" s="2" t="str">
        <f t="shared" si="0"/>
        <v>Failed!</v>
      </c>
      <c r="L27" s="53"/>
      <c r="M27" s="80"/>
      <c r="N27" s="42"/>
      <c r="O27" s="82"/>
      <c r="P27" s="82"/>
      <c r="Q27" s="82"/>
    </row>
    <row r="28" spans="1:17" hidden="1" x14ac:dyDescent="0.35">
      <c r="A28" s="41"/>
      <c r="B28" s="42"/>
      <c r="C28" s="11"/>
      <c r="D28" s="11"/>
      <c r="E28" s="3"/>
      <c r="F28" s="18"/>
      <c r="G28" s="9"/>
      <c r="H28" s="10"/>
      <c r="I28" s="10"/>
      <c r="J28" s="76"/>
      <c r="K28" s="2" t="str">
        <f t="shared" si="0"/>
        <v>Failed!</v>
      </c>
      <c r="L28" s="53"/>
      <c r="M28" s="80"/>
      <c r="N28" s="42"/>
      <c r="O28" s="82"/>
      <c r="P28" s="82"/>
      <c r="Q28" s="82"/>
    </row>
    <row r="29" spans="1:17" hidden="1" x14ac:dyDescent="0.35">
      <c r="A29" s="41"/>
      <c r="B29" s="42"/>
      <c r="C29" s="11"/>
      <c r="D29" s="11"/>
      <c r="E29" s="3"/>
      <c r="F29" s="18"/>
      <c r="G29" s="9"/>
      <c r="H29" s="10"/>
      <c r="I29" s="10"/>
      <c r="J29" s="76"/>
      <c r="K29" s="2" t="str">
        <f t="shared" si="0"/>
        <v>Failed!</v>
      </c>
      <c r="L29" s="53"/>
      <c r="M29" s="80"/>
      <c r="N29" s="42"/>
      <c r="O29" s="82"/>
      <c r="P29" s="82"/>
      <c r="Q29" s="82"/>
    </row>
    <row r="30" spans="1:17" hidden="1" x14ac:dyDescent="0.35">
      <c r="A30" s="41"/>
      <c r="B30" s="42"/>
      <c r="C30" s="11"/>
      <c r="D30" s="11"/>
      <c r="E30" s="3"/>
      <c r="F30" s="18"/>
      <c r="G30" s="9"/>
      <c r="H30" s="10"/>
      <c r="I30" s="10"/>
      <c r="J30" s="76"/>
      <c r="K30" s="2" t="str">
        <f t="shared" si="0"/>
        <v>Failed!</v>
      </c>
      <c r="L30" s="53"/>
      <c r="M30" s="80"/>
      <c r="N30" s="42"/>
      <c r="O30" s="82"/>
      <c r="P30" s="82"/>
      <c r="Q30" s="82"/>
    </row>
    <row r="31" spans="1:17" hidden="1" x14ac:dyDescent="0.35">
      <c r="A31" s="41"/>
      <c r="B31" s="42"/>
      <c r="C31" s="11"/>
      <c r="D31" s="11"/>
      <c r="E31" s="3"/>
      <c r="F31" s="18"/>
      <c r="G31" s="9"/>
      <c r="H31" s="10"/>
      <c r="I31" s="10"/>
      <c r="J31" s="76"/>
      <c r="K31" s="2" t="str">
        <f t="shared" si="0"/>
        <v>Failed!</v>
      </c>
      <c r="L31" s="53"/>
      <c r="M31" s="80"/>
      <c r="N31" s="42"/>
      <c r="O31" s="82"/>
      <c r="P31" s="82"/>
      <c r="Q31" s="82"/>
    </row>
    <row r="32" spans="1:17" hidden="1" x14ac:dyDescent="0.35">
      <c r="A32" s="41"/>
      <c r="B32" s="42"/>
      <c r="C32" s="11"/>
      <c r="D32" s="11"/>
      <c r="E32" s="3"/>
      <c r="F32" s="18"/>
      <c r="G32" s="9"/>
      <c r="H32" s="10"/>
      <c r="I32" s="10"/>
      <c r="J32" s="76"/>
      <c r="K32" s="2" t="str">
        <f t="shared" si="0"/>
        <v>Failed!</v>
      </c>
      <c r="L32" s="53"/>
      <c r="M32" s="80"/>
      <c r="N32" s="42"/>
      <c r="O32" s="82"/>
      <c r="P32" s="82"/>
      <c r="Q32" s="82"/>
    </row>
    <row r="33" spans="1:17" hidden="1" x14ac:dyDescent="0.35">
      <c r="A33" s="41"/>
      <c r="B33" s="42"/>
      <c r="C33" s="11"/>
      <c r="D33" s="11"/>
      <c r="E33" s="3"/>
      <c r="F33" s="18"/>
      <c r="G33" s="9"/>
      <c r="H33" s="10"/>
      <c r="I33" s="10"/>
      <c r="J33" s="76"/>
      <c r="K33" s="2" t="str">
        <f t="shared" si="0"/>
        <v>Failed!</v>
      </c>
      <c r="L33" s="53"/>
      <c r="M33" s="80"/>
      <c r="N33" s="42"/>
      <c r="O33" s="82"/>
      <c r="P33" s="82"/>
      <c r="Q33" s="82"/>
    </row>
    <row r="34" spans="1:17" hidden="1" x14ac:dyDescent="0.35">
      <c r="A34" s="41"/>
      <c r="B34" s="42"/>
      <c r="C34" s="11"/>
      <c r="D34" s="11"/>
      <c r="E34" s="3"/>
      <c r="F34" s="18"/>
      <c r="G34" s="9"/>
      <c r="H34" s="10"/>
      <c r="I34" s="10"/>
      <c r="J34" s="76"/>
      <c r="K34" s="2" t="str">
        <f t="shared" si="0"/>
        <v>Failed!</v>
      </c>
      <c r="L34" s="53"/>
      <c r="M34" s="80"/>
      <c r="N34" s="42"/>
      <c r="O34" s="82"/>
      <c r="P34" s="82"/>
      <c r="Q34" s="82"/>
    </row>
    <row r="35" spans="1:17" hidden="1" x14ac:dyDescent="0.35">
      <c r="A35" s="41"/>
      <c r="B35" s="42"/>
      <c r="C35" s="11"/>
      <c r="D35" s="11"/>
      <c r="E35" s="3"/>
      <c r="F35" s="18"/>
      <c r="G35" s="9"/>
      <c r="H35" s="10"/>
      <c r="I35" s="10"/>
      <c r="J35" s="76"/>
      <c r="K35" s="2" t="str">
        <f t="shared" si="0"/>
        <v>Failed!</v>
      </c>
      <c r="L35" s="53"/>
      <c r="M35" s="80"/>
      <c r="N35" s="42"/>
      <c r="O35" s="82"/>
      <c r="P35" s="82"/>
      <c r="Q35" s="82"/>
    </row>
    <row r="36" spans="1:17" hidden="1" x14ac:dyDescent="0.35">
      <c r="A36" s="41"/>
      <c r="B36" s="42"/>
      <c r="C36" s="11"/>
      <c r="D36" s="11"/>
      <c r="E36" s="3"/>
      <c r="F36" s="18"/>
      <c r="G36" s="9"/>
      <c r="H36" s="10"/>
      <c r="I36" s="10"/>
      <c r="J36" s="76"/>
      <c r="K36" s="2" t="str">
        <f t="shared" si="0"/>
        <v>Failed!</v>
      </c>
      <c r="L36" s="53"/>
      <c r="M36" s="80"/>
      <c r="N36" s="42"/>
      <c r="O36" s="82"/>
      <c r="P36" s="82"/>
      <c r="Q36" s="82"/>
    </row>
    <row r="37" spans="1:17" hidden="1" x14ac:dyDescent="0.35">
      <c r="A37" s="41"/>
      <c r="B37" s="42"/>
      <c r="C37" s="11"/>
      <c r="D37" s="11"/>
      <c r="E37" s="3"/>
      <c r="F37" s="18"/>
      <c r="G37" s="9"/>
      <c r="H37" s="10"/>
      <c r="I37" s="10"/>
      <c r="J37" s="76"/>
      <c r="K37" s="2" t="str">
        <f t="shared" si="0"/>
        <v>Failed!</v>
      </c>
      <c r="L37" s="53"/>
      <c r="M37" s="80"/>
      <c r="N37" s="42"/>
      <c r="O37" s="82"/>
      <c r="P37" s="82"/>
      <c r="Q37" s="82"/>
    </row>
    <row r="38" spans="1:17" hidden="1" x14ac:dyDescent="0.35">
      <c r="A38" s="41"/>
      <c r="B38" s="42"/>
      <c r="C38" s="11"/>
      <c r="D38" s="11"/>
      <c r="E38" s="3"/>
      <c r="F38" s="18"/>
      <c r="G38" s="9"/>
      <c r="H38" s="10"/>
      <c r="I38" s="10"/>
      <c r="J38" s="76"/>
      <c r="K38" s="2" t="str">
        <f t="shared" si="0"/>
        <v>Failed!</v>
      </c>
      <c r="L38" s="53"/>
      <c r="M38" s="80"/>
      <c r="N38" s="42"/>
      <c r="O38" s="82"/>
      <c r="P38" s="82"/>
      <c r="Q38" s="82"/>
    </row>
    <row r="39" spans="1:17" hidden="1" x14ac:dyDescent="0.35">
      <c r="A39" s="41"/>
      <c r="B39" s="42"/>
      <c r="C39" s="11"/>
      <c r="D39" s="11"/>
      <c r="E39" s="3"/>
      <c r="F39" s="18"/>
      <c r="G39" s="9"/>
      <c r="H39" s="10"/>
      <c r="I39" s="10"/>
      <c r="J39" s="76"/>
      <c r="K39" s="2" t="str">
        <f t="shared" si="0"/>
        <v>Failed!</v>
      </c>
      <c r="L39" s="53"/>
      <c r="M39" s="80"/>
      <c r="N39" s="42"/>
      <c r="O39" s="82"/>
      <c r="P39" s="82"/>
      <c r="Q39" s="82"/>
    </row>
    <row r="40" spans="1:17" hidden="1" x14ac:dyDescent="0.35">
      <c r="A40" s="41"/>
      <c r="B40" s="42"/>
      <c r="C40" s="11"/>
      <c r="D40" s="11"/>
      <c r="E40" s="3"/>
      <c r="F40" s="18"/>
      <c r="G40" s="9"/>
      <c r="H40" s="10"/>
      <c r="I40" s="10"/>
      <c r="J40" s="76"/>
      <c r="K40" s="2" t="str">
        <f t="shared" si="0"/>
        <v>Failed!</v>
      </c>
      <c r="L40" s="53"/>
      <c r="M40" s="80"/>
      <c r="N40" s="42"/>
      <c r="O40" s="82"/>
      <c r="P40" s="82"/>
      <c r="Q40" s="82"/>
    </row>
    <row r="41" spans="1:17" hidden="1" x14ac:dyDescent="0.35">
      <c r="A41" s="41"/>
      <c r="B41" s="42"/>
      <c r="C41" s="11"/>
      <c r="D41" s="11"/>
      <c r="E41" s="3"/>
      <c r="F41" s="18"/>
      <c r="G41" s="9"/>
      <c r="H41" s="10"/>
      <c r="I41" s="10"/>
      <c r="J41" s="76"/>
      <c r="K41" s="2" t="str">
        <f t="shared" si="0"/>
        <v>Failed!</v>
      </c>
      <c r="L41" s="53"/>
      <c r="M41" s="80"/>
      <c r="N41" s="42"/>
      <c r="O41" s="82"/>
      <c r="P41" s="82"/>
      <c r="Q41" s="82"/>
    </row>
    <row r="42" spans="1:17" hidden="1" x14ac:dyDescent="0.35">
      <c r="A42" s="41"/>
      <c r="B42" s="42"/>
      <c r="C42" s="11"/>
      <c r="D42" s="11"/>
      <c r="E42" s="3"/>
      <c r="F42" s="18"/>
      <c r="G42" s="9"/>
      <c r="H42" s="10"/>
      <c r="I42" s="10"/>
      <c r="J42" s="76"/>
      <c r="K42" s="2" t="str">
        <f t="shared" si="0"/>
        <v>Failed!</v>
      </c>
      <c r="L42" s="53"/>
      <c r="M42" s="80"/>
      <c r="N42" s="42"/>
      <c r="O42" s="82"/>
      <c r="P42" s="82"/>
      <c r="Q42" s="82"/>
    </row>
    <row r="43" spans="1:17" hidden="1" x14ac:dyDescent="0.35">
      <c r="A43" s="41"/>
      <c r="B43" s="42"/>
      <c r="C43" s="11"/>
      <c r="D43" s="11"/>
      <c r="E43" s="3"/>
      <c r="F43" s="18"/>
      <c r="G43" s="9"/>
      <c r="H43" s="10"/>
      <c r="I43" s="10"/>
      <c r="J43" s="76"/>
      <c r="K43" s="2" t="str">
        <f t="shared" si="0"/>
        <v>Failed!</v>
      </c>
      <c r="L43" s="53"/>
      <c r="M43" s="80"/>
      <c r="N43" s="42"/>
      <c r="O43" s="82"/>
      <c r="P43" s="82"/>
      <c r="Q43" s="82"/>
    </row>
    <row r="44" spans="1:17" hidden="1" x14ac:dyDescent="0.35">
      <c r="A44" s="41"/>
      <c r="B44" s="42"/>
      <c r="C44" s="11"/>
      <c r="D44" s="11"/>
      <c r="E44" s="3"/>
      <c r="F44" s="18"/>
      <c r="G44" s="9"/>
      <c r="H44" s="10"/>
      <c r="I44" s="10"/>
      <c r="J44" s="76"/>
      <c r="K44" s="2" t="str">
        <f t="shared" si="0"/>
        <v>Failed!</v>
      </c>
      <c r="L44" s="53"/>
      <c r="M44" s="80"/>
      <c r="N44" s="42"/>
      <c r="O44" s="82"/>
      <c r="P44" s="82"/>
      <c r="Q44" s="82"/>
    </row>
    <row r="45" spans="1:17" hidden="1" x14ac:dyDescent="0.35">
      <c r="A45" s="41"/>
      <c r="B45" s="42"/>
      <c r="C45" s="11"/>
      <c r="D45" s="11"/>
      <c r="E45" s="3"/>
      <c r="F45" s="18"/>
      <c r="G45" s="9"/>
      <c r="H45" s="10"/>
      <c r="I45" s="10"/>
      <c r="J45" s="76"/>
      <c r="K45" s="2" t="str">
        <f t="shared" si="0"/>
        <v>Failed!</v>
      </c>
      <c r="L45" s="53"/>
      <c r="M45" s="80"/>
      <c r="N45" s="42"/>
      <c r="O45" s="82"/>
      <c r="P45" s="82"/>
      <c r="Q45" s="82"/>
    </row>
    <row r="46" spans="1:17" hidden="1" x14ac:dyDescent="0.35">
      <c r="A46" s="41"/>
      <c r="B46" s="42"/>
      <c r="C46" s="11"/>
      <c r="D46" s="11"/>
      <c r="E46" s="3"/>
      <c r="F46" s="18"/>
      <c r="G46" s="9"/>
      <c r="H46" s="10"/>
      <c r="I46" s="10"/>
      <c r="J46" s="76"/>
      <c r="K46" s="2" t="str">
        <f t="shared" si="0"/>
        <v>Failed!</v>
      </c>
      <c r="L46" s="53"/>
      <c r="M46" s="80"/>
      <c r="N46" s="42"/>
      <c r="O46" s="82"/>
      <c r="P46" s="82"/>
      <c r="Q46" s="82"/>
    </row>
    <row r="47" spans="1:17" hidden="1" x14ac:dyDescent="0.35">
      <c r="A47" s="41"/>
      <c r="B47" s="42"/>
      <c r="C47" s="11"/>
      <c r="D47" s="11"/>
      <c r="E47" s="3"/>
      <c r="F47" s="18"/>
      <c r="G47" s="9"/>
      <c r="H47" s="10"/>
      <c r="I47" s="10"/>
      <c r="J47" s="76"/>
      <c r="K47" s="2" t="str">
        <f t="shared" si="0"/>
        <v>Failed!</v>
      </c>
      <c r="L47" s="53"/>
      <c r="M47" s="80"/>
      <c r="N47" s="42"/>
      <c r="O47" s="82"/>
      <c r="P47" s="82"/>
      <c r="Q47" s="82"/>
    </row>
    <row r="48" spans="1:17" hidden="1" x14ac:dyDescent="0.35">
      <c r="A48" s="41"/>
      <c r="B48" s="42"/>
      <c r="C48" s="11"/>
      <c r="D48" s="11"/>
      <c r="E48" s="3"/>
      <c r="F48" s="18"/>
      <c r="G48" s="9"/>
      <c r="H48" s="10"/>
      <c r="I48" s="10"/>
      <c r="J48" s="76"/>
      <c r="K48" s="2" t="str">
        <f t="shared" si="0"/>
        <v>Failed!</v>
      </c>
      <c r="L48" s="53"/>
      <c r="M48" s="80"/>
      <c r="N48" s="42"/>
      <c r="O48" s="82"/>
      <c r="P48" s="82"/>
      <c r="Q48" s="82"/>
    </row>
    <row r="49" spans="1:17" hidden="1" x14ac:dyDescent="0.35">
      <c r="A49" s="41"/>
      <c r="B49" s="42"/>
      <c r="C49" s="11"/>
      <c r="D49" s="11"/>
      <c r="E49" s="3"/>
      <c r="F49" s="19"/>
      <c r="G49" s="1"/>
      <c r="H49" s="12"/>
      <c r="I49" s="12"/>
      <c r="J49" s="77"/>
      <c r="K49" s="2" t="str">
        <f t="shared" si="0"/>
        <v>Failed!</v>
      </c>
      <c r="L49" s="53"/>
      <c r="M49" s="80"/>
      <c r="N49" s="42"/>
      <c r="O49" s="82"/>
      <c r="P49" s="82"/>
      <c r="Q49" s="82"/>
    </row>
    <row r="50" spans="1:17" hidden="1" x14ac:dyDescent="0.35">
      <c r="A50" s="41"/>
      <c r="B50" s="42"/>
      <c r="C50" s="11"/>
      <c r="D50" s="11"/>
      <c r="E50" s="3"/>
      <c r="F50" s="19"/>
      <c r="G50" s="1"/>
      <c r="H50" s="12"/>
      <c r="I50" s="12"/>
      <c r="J50" s="77"/>
      <c r="K50" s="2" t="str">
        <f t="shared" si="0"/>
        <v>Failed!</v>
      </c>
      <c r="L50" s="53"/>
      <c r="M50" s="80"/>
      <c r="N50" s="42"/>
      <c r="O50" s="82"/>
      <c r="P50" s="82"/>
      <c r="Q50" s="82"/>
    </row>
    <row r="51" spans="1:17" hidden="1" x14ac:dyDescent="0.35">
      <c r="A51" s="41"/>
      <c r="B51" s="42"/>
      <c r="C51" s="11"/>
      <c r="D51" s="11"/>
      <c r="E51" s="3"/>
      <c r="F51" s="19"/>
      <c r="G51" s="1"/>
      <c r="H51" s="12"/>
      <c r="I51" s="12"/>
      <c r="J51" s="77"/>
      <c r="K51" s="2" t="str">
        <f t="shared" si="0"/>
        <v>Failed!</v>
      </c>
      <c r="L51" s="53"/>
      <c r="M51" s="80"/>
      <c r="N51" s="42"/>
      <c r="O51" s="82"/>
      <c r="P51" s="82"/>
      <c r="Q51" s="82"/>
    </row>
    <row r="52" spans="1:17" hidden="1" x14ac:dyDescent="0.35">
      <c r="A52" s="41"/>
      <c r="B52" s="42"/>
      <c r="C52" s="11"/>
      <c r="D52" s="11"/>
      <c r="E52" s="3"/>
      <c r="F52" s="19"/>
      <c r="G52" s="1"/>
      <c r="H52" s="12"/>
      <c r="I52" s="12"/>
      <c r="J52" s="77"/>
      <c r="K52" s="2" t="str">
        <f t="shared" si="0"/>
        <v>Failed!</v>
      </c>
      <c r="L52" s="53"/>
      <c r="M52" s="80"/>
      <c r="N52" s="42"/>
      <c r="O52" s="82"/>
      <c r="P52" s="82"/>
      <c r="Q52" s="82"/>
    </row>
    <row r="53" spans="1:17" hidden="1" x14ac:dyDescent="0.35">
      <c r="A53" s="41"/>
      <c r="B53" s="42"/>
      <c r="C53" s="11"/>
      <c r="D53" s="11"/>
      <c r="E53" s="3"/>
      <c r="F53" s="19"/>
      <c r="G53" s="1"/>
      <c r="H53" s="12"/>
      <c r="I53" s="12"/>
      <c r="J53" s="77"/>
      <c r="K53" s="2" t="str">
        <f t="shared" si="0"/>
        <v>Failed!</v>
      </c>
      <c r="L53" s="53"/>
      <c r="M53" s="80"/>
      <c r="N53" s="42"/>
      <c r="O53" s="82"/>
      <c r="P53" s="82"/>
      <c r="Q53" s="82"/>
    </row>
    <row r="54" spans="1:17" hidden="1" x14ac:dyDescent="0.35">
      <c r="A54" s="41"/>
      <c r="B54" s="42"/>
      <c r="C54" s="11"/>
      <c r="D54" s="11"/>
      <c r="E54" s="3"/>
      <c r="F54" s="19"/>
      <c r="G54" s="1"/>
      <c r="H54" s="12"/>
      <c r="I54" s="12"/>
      <c r="J54" s="77"/>
      <c r="K54" s="2" t="str">
        <f t="shared" si="0"/>
        <v>Failed!</v>
      </c>
      <c r="L54" s="53"/>
      <c r="M54" s="80"/>
      <c r="N54" s="42"/>
      <c r="O54" s="82"/>
      <c r="P54" s="82"/>
      <c r="Q54" s="82"/>
    </row>
    <row r="55" spans="1:17" hidden="1" x14ac:dyDescent="0.35">
      <c r="A55" s="41"/>
      <c r="B55" s="42"/>
      <c r="C55" s="11"/>
      <c r="D55" s="11"/>
      <c r="E55" s="3"/>
      <c r="F55" s="19"/>
      <c r="G55" s="1"/>
      <c r="H55" s="12"/>
      <c r="I55" s="12"/>
      <c r="J55" s="77"/>
      <c r="K55" s="2" t="str">
        <f t="shared" si="0"/>
        <v>Failed!</v>
      </c>
      <c r="L55" s="53"/>
      <c r="M55" s="80"/>
      <c r="N55" s="42"/>
      <c r="O55" s="82"/>
      <c r="P55" s="82"/>
      <c r="Q55" s="82"/>
    </row>
    <row r="56" spans="1:17" hidden="1" x14ac:dyDescent="0.35">
      <c r="A56" s="41"/>
      <c r="B56" s="42"/>
      <c r="C56" s="11"/>
      <c r="D56" s="11"/>
      <c r="E56" s="3"/>
      <c r="F56" s="19"/>
      <c r="G56" s="1"/>
      <c r="H56" s="12"/>
      <c r="I56" s="12"/>
      <c r="J56" s="77"/>
      <c r="K56" s="2" t="str">
        <f t="shared" si="0"/>
        <v>Failed!</v>
      </c>
      <c r="L56" s="53"/>
      <c r="M56" s="80"/>
      <c r="N56" s="42"/>
      <c r="O56" s="82"/>
      <c r="P56" s="82"/>
      <c r="Q56" s="82"/>
    </row>
    <row r="57" spans="1:17" hidden="1" x14ac:dyDescent="0.35">
      <c r="A57" s="41"/>
      <c r="B57" s="42"/>
      <c r="C57" s="11"/>
      <c r="D57" s="11"/>
      <c r="E57" s="3"/>
      <c r="F57" s="19"/>
      <c r="G57" s="1"/>
      <c r="H57" s="12"/>
      <c r="I57" s="12"/>
      <c r="J57" s="77"/>
      <c r="K57" s="2" t="str">
        <f t="shared" si="0"/>
        <v>Failed!</v>
      </c>
      <c r="L57" s="53"/>
      <c r="M57" s="80"/>
      <c r="N57" s="42"/>
      <c r="O57" s="82"/>
      <c r="P57" s="82"/>
      <c r="Q57" s="82"/>
    </row>
    <row r="58" spans="1:17" hidden="1" x14ac:dyDescent="0.35">
      <c r="A58" s="41"/>
      <c r="B58" s="42"/>
      <c r="C58" s="11"/>
      <c r="D58" s="11"/>
      <c r="E58" s="3"/>
      <c r="F58" s="19"/>
      <c r="G58" s="1"/>
      <c r="H58" s="12"/>
      <c r="I58" s="12"/>
      <c r="J58" s="77"/>
      <c r="K58" s="2" t="str">
        <f t="shared" si="0"/>
        <v>Failed!</v>
      </c>
      <c r="L58" s="53"/>
      <c r="M58" s="80"/>
      <c r="N58" s="42"/>
      <c r="O58" s="82"/>
      <c r="P58" s="82"/>
      <c r="Q58" s="82"/>
    </row>
    <row r="59" spans="1:17" hidden="1" x14ac:dyDescent="0.35">
      <c r="A59" s="41"/>
      <c r="B59" s="42"/>
      <c r="C59" s="11"/>
      <c r="D59" s="11"/>
      <c r="E59" s="3"/>
      <c r="F59" s="18"/>
      <c r="G59" s="9"/>
      <c r="H59" s="10"/>
      <c r="I59" s="10"/>
      <c r="J59" s="76"/>
      <c r="K59" s="2" t="str">
        <f t="shared" si="0"/>
        <v>Failed!</v>
      </c>
      <c r="L59" s="53"/>
      <c r="M59" s="80"/>
      <c r="N59" s="42"/>
      <c r="O59" s="82"/>
      <c r="P59" s="82"/>
      <c r="Q59" s="82"/>
    </row>
    <row r="60" spans="1:17" hidden="1" x14ac:dyDescent="0.35">
      <c r="A60" s="41"/>
      <c r="B60" s="42"/>
      <c r="C60" s="11"/>
      <c r="D60" s="11"/>
      <c r="E60" s="3"/>
      <c r="F60" s="18"/>
      <c r="G60" s="9"/>
      <c r="H60" s="10"/>
      <c r="I60" s="10"/>
      <c r="J60" s="76"/>
      <c r="K60" s="2" t="str">
        <f t="shared" si="0"/>
        <v>Failed!</v>
      </c>
      <c r="L60" s="53"/>
      <c r="M60" s="80"/>
      <c r="N60" s="42"/>
      <c r="O60" s="82"/>
      <c r="P60" s="82"/>
      <c r="Q60" s="82"/>
    </row>
    <row r="61" spans="1:17" hidden="1" x14ac:dyDescent="0.35">
      <c r="A61" s="41"/>
      <c r="B61" s="42"/>
      <c r="C61" s="11"/>
      <c r="D61" s="11"/>
      <c r="E61" s="3"/>
      <c r="F61" s="18"/>
      <c r="G61" s="9"/>
      <c r="H61" s="10"/>
      <c r="I61" s="10"/>
      <c r="J61" s="76"/>
      <c r="K61" s="2" t="str">
        <f t="shared" si="0"/>
        <v>Failed!</v>
      </c>
      <c r="L61" s="53"/>
      <c r="M61" s="80"/>
      <c r="N61" s="42"/>
      <c r="O61" s="82"/>
      <c r="P61" s="82"/>
      <c r="Q61" s="82"/>
    </row>
    <row r="62" spans="1:17" hidden="1" x14ac:dyDescent="0.35">
      <c r="A62" s="41"/>
      <c r="B62" s="42"/>
      <c r="C62" s="11"/>
      <c r="D62" s="11"/>
      <c r="E62" s="3"/>
      <c r="F62" s="18"/>
      <c r="G62" s="9"/>
      <c r="H62" s="10"/>
      <c r="I62" s="10"/>
      <c r="J62" s="76"/>
      <c r="K62" s="2" t="str">
        <f t="shared" si="0"/>
        <v>Failed!</v>
      </c>
      <c r="L62" s="53"/>
      <c r="M62" s="80"/>
      <c r="N62" s="42"/>
      <c r="O62" s="82"/>
      <c r="P62" s="82"/>
      <c r="Q62" s="82"/>
    </row>
    <row r="63" spans="1:17" hidden="1" x14ac:dyDescent="0.35">
      <c r="A63" s="41"/>
      <c r="B63" s="42"/>
      <c r="C63" s="11"/>
      <c r="D63" s="11"/>
      <c r="E63" s="3"/>
      <c r="F63" s="18"/>
      <c r="G63" s="9"/>
      <c r="H63" s="10"/>
      <c r="I63" s="10"/>
      <c r="J63" s="76"/>
      <c r="K63" s="2" t="str">
        <f t="shared" si="0"/>
        <v>Failed!</v>
      </c>
      <c r="L63" s="53"/>
      <c r="M63" s="80"/>
      <c r="N63" s="42"/>
      <c r="O63" s="82"/>
      <c r="P63" s="82"/>
      <c r="Q63" s="82"/>
    </row>
    <row r="64" spans="1:17" hidden="1" x14ac:dyDescent="0.35">
      <c r="A64" s="41"/>
      <c r="B64" s="42"/>
      <c r="C64" s="11"/>
      <c r="D64" s="11"/>
      <c r="E64" s="3"/>
      <c r="F64" s="18"/>
      <c r="G64" s="9"/>
      <c r="H64" s="10"/>
      <c r="I64" s="10"/>
      <c r="J64" s="76"/>
      <c r="K64" s="2" t="str">
        <f t="shared" si="0"/>
        <v>Failed!</v>
      </c>
      <c r="L64" s="53"/>
      <c r="M64" s="80"/>
      <c r="N64" s="42"/>
      <c r="O64" s="82"/>
      <c r="P64" s="82"/>
      <c r="Q64" s="82"/>
    </row>
    <row r="65" spans="1:17" hidden="1" x14ac:dyDescent="0.35">
      <c r="A65" s="41"/>
      <c r="B65" s="42"/>
      <c r="C65" s="11"/>
      <c r="D65" s="11"/>
      <c r="E65" s="3"/>
      <c r="F65" s="18"/>
      <c r="G65" s="9"/>
      <c r="H65" s="10"/>
      <c r="I65" s="10"/>
      <c r="J65" s="76"/>
      <c r="K65" s="2" t="str">
        <f t="shared" si="0"/>
        <v>Failed!</v>
      </c>
      <c r="L65" s="53"/>
      <c r="M65" s="80"/>
      <c r="N65" s="42"/>
      <c r="O65" s="82"/>
      <c r="P65" s="82"/>
      <c r="Q65" s="82"/>
    </row>
    <row r="66" spans="1:17" hidden="1" x14ac:dyDescent="0.35">
      <c r="A66" s="41"/>
      <c r="B66" s="42"/>
      <c r="C66" s="11"/>
      <c r="D66" s="11"/>
      <c r="E66" s="3"/>
      <c r="F66" s="18"/>
      <c r="G66" s="9"/>
      <c r="H66" s="10"/>
      <c r="I66" s="10"/>
      <c r="J66" s="76"/>
      <c r="K66" s="2" t="str">
        <f t="shared" si="0"/>
        <v>Failed!</v>
      </c>
      <c r="L66" s="53"/>
      <c r="M66" s="80"/>
      <c r="N66" s="42"/>
      <c r="O66" s="82"/>
      <c r="P66" s="82"/>
      <c r="Q66" s="82"/>
    </row>
    <row r="67" spans="1:17" hidden="1" x14ac:dyDescent="0.35">
      <c r="A67" s="41"/>
      <c r="B67" s="42"/>
      <c r="C67" s="11"/>
      <c r="D67" s="11"/>
      <c r="E67" s="3"/>
      <c r="F67" s="18"/>
      <c r="G67" s="9"/>
      <c r="H67" s="10"/>
      <c r="I67" s="10"/>
      <c r="J67" s="76"/>
      <c r="K67" s="2" t="str">
        <f t="shared" si="0"/>
        <v>Failed!</v>
      </c>
      <c r="L67" s="53"/>
      <c r="M67" s="80"/>
      <c r="N67" s="42"/>
      <c r="O67" s="82"/>
      <c r="P67" s="82"/>
      <c r="Q67" s="82"/>
    </row>
    <row r="68" spans="1:17" hidden="1" x14ac:dyDescent="0.35">
      <c r="A68" s="41"/>
      <c r="B68" s="42"/>
      <c r="C68" s="11"/>
      <c r="D68" s="11"/>
      <c r="E68" s="3"/>
      <c r="F68" s="18"/>
      <c r="G68" s="9"/>
      <c r="H68" s="10"/>
      <c r="I68" s="10"/>
      <c r="J68" s="76"/>
      <c r="K68" s="2" t="str">
        <f t="shared" si="0"/>
        <v>Failed!</v>
      </c>
      <c r="L68" s="53"/>
      <c r="M68" s="80"/>
      <c r="N68" s="42"/>
      <c r="O68" s="82"/>
      <c r="P68" s="82"/>
      <c r="Q68" s="82"/>
    </row>
    <row r="69" spans="1:17" hidden="1" x14ac:dyDescent="0.35">
      <c r="A69" s="41"/>
      <c r="B69" s="42"/>
      <c r="C69" s="11"/>
      <c r="D69" s="11"/>
      <c r="E69" s="3"/>
      <c r="F69" s="18"/>
      <c r="G69" s="9"/>
      <c r="H69" s="10"/>
      <c r="I69" s="10"/>
      <c r="J69" s="76"/>
      <c r="K69" s="2" t="str">
        <f t="shared" si="0"/>
        <v>Failed!</v>
      </c>
      <c r="L69" s="53"/>
      <c r="M69" s="80"/>
      <c r="N69" s="42"/>
      <c r="O69" s="82"/>
      <c r="P69" s="82"/>
      <c r="Q69" s="82"/>
    </row>
    <row r="70" spans="1:17" hidden="1" x14ac:dyDescent="0.35">
      <c r="A70" s="41"/>
      <c r="B70" s="42"/>
      <c r="C70" s="11"/>
      <c r="D70" s="11"/>
      <c r="E70" s="3"/>
      <c r="F70" s="18"/>
      <c r="G70" s="9"/>
      <c r="H70" s="10"/>
      <c r="I70" s="10"/>
      <c r="J70" s="76"/>
      <c r="K70" s="2" t="str">
        <f t="shared" si="0"/>
        <v>Failed!</v>
      </c>
      <c r="L70" s="53"/>
      <c r="M70" s="80"/>
      <c r="N70" s="42"/>
      <c r="O70" s="82"/>
      <c r="P70" s="82"/>
      <c r="Q70" s="82"/>
    </row>
    <row r="71" spans="1:17" hidden="1" x14ac:dyDescent="0.35">
      <c r="A71" s="41"/>
      <c r="B71" s="42"/>
      <c r="C71" s="11"/>
      <c r="D71" s="11"/>
      <c r="E71" s="3"/>
      <c r="F71" s="18"/>
      <c r="G71" s="9"/>
      <c r="H71" s="10"/>
      <c r="I71" s="10"/>
      <c r="J71" s="76"/>
      <c r="K71" s="2" t="str">
        <f t="shared" si="0"/>
        <v>Failed!</v>
      </c>
      <c r="L71" s="53"/>
      <c r="M71" s="80"/>
      <c r="N71" s="42"/>
      <c r="O71" s="82"/>
      <c r="P71" s="82"/>
      <c r="Q71" s="82"/>
    </row>
    <row r="72" spans="1:17" hidden="1" x14ac:dyDescent="0.35">
      <c r="A72" s="41"/>
      <c r="B72" s="42"/>
      <c r="C72" s="11"/>
      <c r="D72" s="11"/>
      <c r="E72" s="3"/>
      <c r="F72" s="18"/>
      <c r="G72" s="9"/>
      <c r="H72" s="10"/>
      <c r="I72" s="10"/>
      <c r="J72" s="76"/>
      <c r="K72" s="2" t="str">
        <f t="shared" si="0"/>
        <v>Failed!</v>
      </c>
      <c r="L72" s="53"/>
      <c r="M72" s="80"/>
      <c r="N72" s="42"/>
      <c r="O72" s="82"/>
      <c r="P72" s="82"/>
      <c r="Q72" s="82"/>
    </row>
    <row r="73" spans="1:17" hidden="1" x14ac:dyDescent="0.35">
      <c r="A73" s="41"/>
      <c r="B73" s="42"/>
      <c r="C73" s="11"/>
      <c r="D73" s="11"/>
      <c r="E73" s="3"/>
      <c r="F73" s="18"/>
      <c r="G73" s="9"/>
      <c r="H73" s="10"/>
      <c r="I73" s="10"/>
      <c r="J73" s="76"/>
      <c r="K73" s="2" t="str">
        <f t="shared" si="0"/>
        <v>Failed!</v>
      </c>
      <c r="L73" s="53"/>
      <c r="M73" s="80"/>
      <c r="N73" s="42"/>
      <c r="O73" s="82"/>
      <c r="P73" s="82"/>
      <c r="Q73" s="82"/>
    </row>
    <row r="74" spans="1:17" hidden="1" x14ac:dyDescent="0.35">
      <c r="A74" s="41"/>
      <c r="B74" s="42"/>
      <c r="C74" s="11"/>
      <c r="D74" s="11"/>
      <c r="E74" s="3"/>
      <c r="F74" s="18"/>
      <c r="G74" s="9"/>
      <c r="H74" s="10"/>
      <c r="I74" s="10"/>
      <c r="J74" s="76"/>
      <c r="K74" s="2" t="str">
        <f t="shared" ref="K74:K88" si="1">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1"/>
        <v>Failed!</v>
      </c>
      <c r="L75" s="53"/>
      <c r="M75" s="80"/>
      <c r="N75" s="42"/>
      <c r="O75" s="82"/>
      <c r="P75" s="82"/>
      <c r="Q75" s="82"/>
    </row>
    <row r="76" spans="1:17" hidden="1" x14ac:dyDescent="0.35">
      <c r="A76" s="41"/>
      <c r="B76" s="42"/>
      <c r="C76" s="11"/>
      <c r="D76" s="11"/>
      <c r="E76" s="3"/>
      <c r="F76" s="18"/>
      <c r="G76" s="9"/>
      <c r="H76" s="10"/>
      <c r="I76" s="10"/>
      <c r="J76" s="76"/>
      <c r="K76" s="2" t="str">
        <f t="shared" si="1"/>
        <v>Failed!</v>
      </c>
      <c r="L76" s="53"/>
      <c r="M76" s="80"/>
      <c r="N76" s="42"/>
      <c r="O76" s="82"/>
      <c r="P76" s="82"/>
      <c r="Q76" s="82"/>
    </row>
    <row r="77" spans="1:17" hidden="1" x14ac:dyDescent="0.35">
      <c r="A77" s="41"/>
      <c r="B77" s="42"/>
      <c r="C77" s="11"/>
      <c r="D77" s="11"/>
      <c r="E77" s="3"/>
      <c r="F77" s="18"/>
      <c r="G77" s="9"/>
      <c r="H77" s="10"/>
      <c r="I77" s="10"/>
      <c r="J77" s="76"/>
      <c r="K77" s="2" t="str">
        <f t="shared" si="1"/>
        <v>Failed!</v>
      </c>
      <c r="L77" s="53"/>
      <c r="M77" s="80"/>
      <c r="N77" s="42"/>
      <c r="O77" s="82"/>
      <c r="P77" s="82"/>
      <c r="Q77" s="82"/>
    </row>
    <row r="78" spans="1:17" hidden="1" x14ac:dyDescent="0.35">
      <c r="A78" s="41"/>
      <c r="B78" s="42"/>
      <c r="C78" s="11"/>
      <c r="D78" s="11"/>
      <c r="E78" s="3"/>
      <c r="F78" s="18"/>
      <c r="G78" s="9"/>
      <c r="H78" s="10"/>
      <c r="I78" s="10"/>
      <c r="J78" s="76"/>
      <c r="K78" s="2" t="str">
        <f t="shared" si="1"/>
        <v>Failed!</v>
      </c>
      <c r="L78" s="53"/>
      <c r="M78" s="80"/>
      <c r="N78" s="42"/>
      <c r="O78" s="82"/>
      <c r="P78" s="82"/>
      <c r="Q78" s="82"/>
    </row>
    <row r="79" spans="1:17" hidden="1" x14ac:dyDescent="0.35">
      <c r="A79" s="41"/>
      <c r="B79" s="42"/>
      <c r="C79" s="11"/>
      <c r="D79" s="11"/>
      <c r="E79" s="3"/>
      <c r="F79" s="18"/>
      <c r="G79" s="9"/>
      <c r="H79" s="10"/>
      <c r="I79" s="10"/>
      <c r="J79" s="76"/>
      <c r="K79" s="2" t="str">
        <f t="shared" si="1"/>
        <v>Failed!</v>
      </c>
      <c r="L79" s="53"/>
      <c r="M79" s="80"/>
      <c r="N79" s="42"/>
      <c r="O79" s="82"/>
      <c r="P79" s="82"/>
      <c r="Q79" s="82"/>
    </row>
    <row r="80" spans="1:17" hidden="1" x14ac:dyDescent="0.35">
      <c r="A80" s="41"/>
      <c r="B80" s="42"/>
      <c r="C80" s="11"/>
      <c r="D80" s="11"/>
      <c r="E80" s="3"/>
      <c r="F80" s="18"/>
      <c r="G80" s="9"/>
      <c r="H80" s="10"/>
      <c r="I80" s="10"/>
      <c r="J80" s="76"/>
      <c r="K80" s="2" t="str">
        <f t="shared" si="1"/>
        <v>Failed!</v>
      </c>
      <c r="L80" s="53"/>
      <c r="M80" s="80"/>
      <c r="N80" s="42"/>
      <c r="O80" s="82"/>
      <c r="P80" s="82"/>
      <c r="Q80" s="82"/>
    </row>
    <row r="81" spans="1:17" hidden="1" x14ac:dyDescent="0.35">
      <c r="A81" s="41"/>
      <c r="B81" s="42"/>
      <c r="C81" s="11"/>
      <c r="D81" s="11"/>
      <c r="E81" s="3"/>
      <c r="F81" s="18"/>
      <c r="G81" s="9"/>
      <c r="H81" s="10"/>
      <c r="I81" s="10"/>
      <c r="J81" s="76"/>
      <c r="K81" s="2" t="str">
        <f t="shared" si="1"/>
        <v>Failed!</v>
      </c>
      <c r="L81" s="53"/>
      <c r="M81" s="80"/>
      <c r="N81" s="42"/>
      <c r="O81" s="82"/>
      <c r="P81" s="82"/>
      <c r="Q81" s="82"/>
    </row>
    <row r="82" spans="1:17" hidden="1" x14ac:dyDescent="0.35">
      <c r="A82" s="41"/>
      <c r="B82" s="42"/>
      <c r="C82" s="11"/>
      <c r="D82" s="11"/>
      <c r="E82" s="3"/>
      <c r="F82" s="18"/>
      <c r="G82" s="9"/>
      <c r="H82" s="10"/>
      <c r="I82" s="10"/>
      <c r="J82" s="76"/>
      <c r="K82" s="2" t="str">
        <f t="shared" si="1"/>
        <v>Failed!</v>
      </c>
      <c r="L82" s="53"/>
      <c r="M82" s="80"/>
      <c r="N82" s="42"/>
      <c r="O82" s="82"/>
      <c r="P82" s="82"/>
      <c r="Q82" s="82"/>
    </row>
    <row r="83" spans="1:17" hidden="1" x14ac:dyDescent="0.35">
      <c r="A83" s="41"/>
      <c r="B83" s="42"/>
      <c r="C83" s="11"/>
      <c r="D83" s="11"/>
      <c r="E83" s="3"/>
      <c r="F83" s="18"/>
      <c r="G83" s="9"/>
      <c r="H83" s="10"/>
      <c r="I83" s="10"/>
      <c r="J83" s="76"/>
      <c r="K83" s="2" t="str">
        <f t="shared" si="1"/>
        <v>Failed!</v>
      </c>
      <c r="L83" s="53"/>
      <c r="M83" s="80"/>
      <c r="N83" s="42"/>
      <c r="O83" s="82"/>
      <c r="P83" s="82"/>
      <c r="Q83" s="82"/>
    </row>
    <row r="84" spans="1:17" hidden="1" x14ac:dyDescent="0.35">
      <c r="A84" s="41"/>
      <c r="B84" s="42"/>
      <c r="C84" s="11"/>
      <c r="D84" s="11"/>
      <c r="E84" s="3"/>
      <c r="F84" s="18"/>
      <c r="G84" s="9"/>
      <c r="H84" s="10"/>
      <c r="I84" s="10"/>
      <c r="J84" s="76"/>
      <c r="K84" s="2" t="str">
        <f t="shared" si="1"/>
        <v>Failed!</v>
      </c>
      <c r="L84" s="53"/>
      <c r="M84" s="80"/>
      <c r="N84" s="42"/>
      <c r="O84" s="82"/>
      <c r="P84" s="82"/>
      <c r="Q84" s="82"/>
    </row>
    <row r="85" spans="1:17" hidden="1" x14ac:dyDescent="0.35">
      <c r="A85" s="41"/>
      <c r="B85" s="42"/>
      <c r="C85" s="11"/>
      <c r="D85" s="11"/>
      <c r="E85" s="3"/>
      <c r="F85" s="18"/>
      <c r="G85" s="9"/>
      <c r="H85" s="10"/>
      <c r="I85" s="10"/>
      <c r="J85" s="76"/>
      <c r="K85" s="2" t="str">
        <f t="shared" si="1"/>
        <v>Failed!</v>
      </c>
      <c r="L85" s="53"/>
      <c r="M85" s="80"/>
      <c r="N85" s="42"/>
      <c r="O85" s="82"/>
      <c r="P85" s="82"/>
      <c r="Q85" s="82"/>
    </row>
    <row r="86" spans="1:17" hidden="1" x14ac:dyDescent="0.35">
      <c r="A86" s="41"/>
      <c r="B86" s="42"/>
      <c r="C86" s="11"/>
      <c r="D86" s="11"/>
      <c r="E86" s="3"/>
      <c r="F86" s="18"/>
      <c r="G86" s="9"/>
      <c r="H86" s="10"/>
      <c r="I86" s="10"/>
      <c r="J86" s="76"/>
      <c r="K86" s="2" t="str">
        <f t="shared" si="1"/>
        <v>Failed!</v>
      </c>
      <c r="L86" s="53"/>
      <c r="M86" s="80"/>
      <c r="N86" s="42"/>
      <c r="O86" s="82"/>
      <c r="P86" s="82"/>
      <c r="Q86" s="82"/>
    </row>
    <row r="87" spans="1:17" hidden="1" x14ac:dyDescent="0.35">
      <c r="A87" s="41"/>
      <c r="B87" s="42"/>
      <c r="C87" s="11"/>
      <c r="D87" s="11"/>
      <c r="E87" s="3"/>
      <c r="F87" s="18"/>
      <c r="G87" s="9"/>
      <c r="H87" s="10"/>
      <c r="I87" s="10"/>
      <c r="J87" s="76"/>
      <c r="K87" s="2" t="str">
        <f t="shared" si="1"/>
        <v>Failed!</v>
      </c>
      <c r="L87" s="53"/>
      <c r="M87" s="80"/>
      <c r="N87" s="42"/>
      <c r="O87" s="82"/>
      <c r="P87" s="82"/>
      <c r="Q87" s="82"/>
    </row>
    <row r="88" spans="1:17" hidden="1" x14ac:dyDescent="0.35">
      <c r="A88" s="41"/>
      <c r="B88" s="42"/>
      <c r="C88" s="11"/>
      <c r="D88" s="11"/>
      <c r="E88" s="3"/>
      <c r="F88" s="18"/>
      <c r="G88" s="9"/>
      <c r="H88" s="10"/>
      <c r="I88" s="10"/>
      <c r="J88" s="76"/>
      <c r="K88" s="2" t="str">
        <f t="shared" si="1"/>
        <v>Failed!</v>
      </c>
      <c r="L88" s="53"/>
      <c r="M88" s="80"/>
      <c r="N88" s="42"/>
      <c r="O88" s="82"/>
      <c r="P88" s="82"/>
      <c r="Q88" s="82"/>
    </row>
    <row r="89" spans="1:17" x14ac:dyDescent="0.35">
      <c r="M89" s="4"/>
    </row>
    <row r="90" spans="1:17" x14ac:dyDescent="0.35">
      <c r="F90" s="4">
        <f>COUNTA(F10:F88)</f>
        <v>4</v>
      </c>
      <c r="G90" s="2" t="s">
        <v>14</v>
      </c>
      <c r="H90" s="40">
        <f>MAX(H10:H88)</f>
        <v>88</v>
      </c>
      <c r="I90" s="40">
        <f>MAX(I10:I88)</f>
        <v>64.7</v>
      </c>
      <c r="J90" s="40">
        <f>MAX(L10:L88)</f>
        <v>71.849999999999994</v>
      </c>
      <c r="M90" s="4"/>
    </row>
    <row r="91" spans="1:17" x14ac:dyDescent="0.35">
      <c r="G91" s="2" t="s">
        <v>12</v>
      </c>
      <c r="H91" s="40">
        <f>AVERAGE(H10:H88)</f>
        <v>79.5</v>
      </c>
      <c r="I91" s="40">
        <f>AVERAGE(I10:I88)</f>
        <v>48.424999999999997</v>
      </c>
      <c r="J91" s="40">
        <f>AVERAGE(L10:L88)</f>
        <v>63.962499999999999</v>
      </c>
      <c r="M91" s="4"/>
    </row>
    <row r="92" spans="1:17" x14ac:dyDescent="0.35">
      <c r="G92" s="2" t="s">
        <v>15</v>
      </c>
      <c r="H92" s="40">
        <f>MIN(H10:H88)</f>
        <v>71</v>
      </c>
      <c r="I92" s="40">
        <f>MIN(I10:I88)</f>
        <v>29</v>
      </c>
      <c r="J92" s="40">
        <f>MIN(L10:L88)</f>
        <v>54.5</v>
      </c>
      <c r="M92" s="4"/>
    </row>
    <row r="93" spans="1:17" x14ac:dyDescent="0.35">
      <c r="G93" s="2" t="s">
        <v>13</v>
      </c>
      <c r="H93" s="40">
        <f>STDEV(H10:H88)</f>
        <v>6.9522178715380702</v>
      </c>
      <c r="I93" s="40">
        <f>STDEV(I10:I88)</f>
        <v>14.7101722174374</v>
      </c>
      <c r="J93" s="40">
        <f>STDEV(L10:L88)</f>
        <v>7.7699608536122735</v>
      </c>
      <c r="M93" s="4"/>
    </row>
    <row r="94" spans="1:17" x14ac:dyDescent="0.35">
      <c r="G94" s="2" t="str">
        <f>"Failed count ( &lt; " &amp; K6 &amp; " )"</f>
        <v>Failed count ( &lt; 40 )</v>
      </c>
      <c r="H94" s="50">
        <f>COUNTIF(H10:H88, "&lt;40")</f>
        <v>0</v>
      </c>
      <c r="I94" s="50">
        <f>COUNTIF(I10:I88, "&lt;40")</f>
        <v>1</v>
      </c>
      <c r="J94" s="50">
        <f>COUNTIF(L10:L88, "&lt;40")</f>
        <v>0</v>
      </c>
      <c r="M94" s="4"/>
    </row>
    <row r="95" spans="1:17" x14ac:dyDescent="0.35">
      <c r="G95" s="2" t="s">
        <v>16</v>
      </c>
      <c r="H95" s="49">
        <f>1-H94/$F90</f>
        <v>1</v>
      </c>
      <c r="I95" s="49">
        <f>1-I94/$F90</f>
        <v>0.75</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81" priority="1" operator="lessThan">
      <formula>$K$6</formula>
    </cfRule>
  </conditionalFormatting>
  <conditionalFormatting sqref="F10:I88">
    <cfRule type="expression" dxfId="80" priority="2" stopIfTrue="1">
      <formula>F10=A10</formula>
    </cfRule>
    <cfRule type="expression" dxfId="79" priority="3" stopIfTrue="1">
      <formula>F10&lt;&gt;A10</formula>
    </cfRule>
  </conditionalFormatting>
  <conditionalFormatting sqref="M10:Q13">
    <cfRule type="expression" dxfId="78" priority="4" stopIfTrue="1">
      <formula>M10=F10</formula>
    </cfRule>
    <cfRule type="expression" dxfId="7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109"/>
  <sheetViews>
    <sheetView zoomScaleNormal="100" workbookViewId="0">
      <pane xSplit="1" ySplit="9" topLeftCell="J10" activePane="bottomRight" state="frozen"/>
      <selection activeCell="E16" sqref="E16"/>
      <selection pane="topRight" activeCell="E16" sqref="E16"/>
      <selection pane="bottomLeft" activeCell="E16" sqref="E16"/>
      <selection pane="bottomRight" activeCell="N93" sqref="N93"/>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1</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76</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77</v>
      </c>
      <c r="C5" s="14"/>
      <c r="D5" s="16"/>
      <c r="F5" s="59" t="s">
        <v>38</v>
      </c>
      <c r="L5" s="52"/>
      <c r="M5" s="47" t="s">
        <v>49</v>
      </c>
    </row>
    <row r="6" spans="1:18" x14ac:dyDescent="0.35">
      <c r="A6" s="20" t="s">
        <v>37</v>
      </c>
      <c r="B6" s="13" t="s">
        <v>68</v>
      </c>
      <c r="C6" s="14"/>
      <c r="D6" s="16"/>
      <c r="F6" s="59" t="s">
        <v>54</v>
      </c>
      <c r="J6" s="70">
        <v>35</v>
      </c>
      <c r="K6" s="70">
        <v>40</v>
      </c>
      <c r="L6" s="52"/>
      <c r="N6" s="51" t="str">
        <f>"int121com - bcscu.pdf"</f>
        <v>int121com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11323976</v>
      </c>
      <c r="B10" s="42" t="s">
        <v>75</v>
      </c>
      <c r="C10" s="11">
        <v>58.5</v>
      </c>
      <c r="D10" s="11">
        <v>55.5</v>
      </c>
      <c r="E10" s="3"/>
      <c r="F10" s="18">
        <v>11323976</v>
      </c>
      <c r="G10" s="9" t="s">
        <v>249</v>
      </c>
      <c r="H10" s="10">
        <v>58.5</v>
      </c>
      <c r="I10" s="10">
        <v>55.5</v>
      </c>
      <c r="J10" s="76">
        <v>57.62</v>
      </c>
      <c r="K10" s="2" t="s">
        <v>398</v>
      </c>
      <c r="L10" s="53">
        <v>57.62</v>
      </c>
      <c r="M10" s="80">
        <v>11323976</v>
      </c>
      <c r="N10" s="42" t="s">
        <v>399</v>
      </c>
      <c r="O10" s="82">
        <v>58.5</v>
      </c>
      <c r="P10" s="82">
        <v>55.5</v>
      </c>
      <c r="Q10" s="82">
        <v>57.6</v>
      </c>
      <c r="R10" s="84">
        <f>ROUND(Q10 - ABS(J10), 2)</f>
        <v>-0.02</v>
      </c>
    </row>
    <row r="11" spans="1:18" hidden="1" x14ac:dyDescent="0.35">
      <c r="A11" s="41"/>
      <c r="B11" s="43"/>
      <c r="C11" s="11"/>
      <c r="D11" s="11"/>
      <c r="E11" s="3"/>
      <c r="F11" s="18"/>
      <c r="G11" s="9"/>
      <c r="H11" s="10"/>
      <c r="I11" s="10"/>
      <c r="J11" s="76"/>
      <c r="K11" s="2" t="str">
        <f t="shared" ref="K11:K73" si="0">IF(I11="-", IF(J11&lt;$K$6, "Failed!", "pass"), IF(AND(H11&gt;=$J$6, I11&gt;=$J$6, J11&gt;=$K$6), "pass", "Failed!"))</f>
        <v>Failed!</v>
      </c>
      <c r="L11" s="53"/>
      <c r="M11" s="80"/>
      <c r="N11" s="42"/>
      <c r="O11" s="82"/>
      <c r="P11" s="82"/>
      <c r="Q11" s="82"/>
    </row>
    <row r="12" spans="1:18" hidden="1" x14ac:dyDescent="0.35">
      <c r="A12" s="41"/>
      <c r="B12" s="42"/>
      <c r="C12" s="11"/>
      <c r="D12" s="11"/>
      <c r="E12" s="3"/>
      <c r="F12" s="18"/>
      <c r="G12" s="9"/>
      <c r="H12" s="10"/>
      <c r="I12" s="10"/>
      <c r="J12" s="76"/>
      <c r="K12" s="2" t="str">
        <f t="shared" si="0"/>
        <v>Failed!</v>
      </c>
      <c r="L12" s="53"/>
      <c r="M12" s="80"/>
      <c r="N12" s="42"/>
      <c r="O12" s="82"/>
      <c r="P12" s="82"/>
      <c r="Q12" s="82"/>
    </row>
    <row r="13" spans="1:18" hidden="1" x14ac:dyDescent="0.35">
      <c r="A13" s="41"/>
      <c r="B13" s="42"/>
      <c r="C13" s="11"/>
      <c r="D13" s="11"/>
      <c r="E13" s="3"/>
      <c r="F13" s="18"/>
      <c r="G13" s="9"/>
      <c r="H13" s="10"/>
      <c r="I13" s="10"/>
      <c r="J13" s="76"/>
      <c r="K13" s="2" t="str">
        <f t="shared" si="0"/>
        <v>Failed!</v>
      </c>
      <c r="L13" s="53"/>
      <c r="M13" s="80"/>
      <c r="N13" s="42"/>
      <c r="O13" s="82"/>
      <c r="P13" s="82"/>
      <c r="Q13" s="82"/>
    </row>
    <row r="14" spans="1:18" hidden="1" x14ac:dyDescent="0.35">
      <c r="A14" s="41"/>
      <c r="B14" s="42"/>
      <c r="C14" s="11"/>
      <c r="D14" s="11"/>
      <c r="E14" s="3"/>
      <c r="F14" s="18"/>
      <c r="G14" s="9"/>
      <c r="H14" s="10"/>
      <c r="I14" s="10"/>
      <c r="J14" s="76"/>
      <c r="K14" s="2" t="str">
        <f t="shared" si="0"/>
        <v>Failed!</v>
      </c>
      <c r="L14" s="53"/>
      <c r="M14" s="80"/>
      <c r="N14" s="42"/>
      <c r="O14" s="82"/>
      <c r="P14" s="82"/>
      <c r="Q14" s="82"/>
    </row>
    <row r="15" spans="1:18" hidden="1" x14ac:dyDescent="0.35">
      <c r="A15" s="41"/>
      <c r="B15" s="42"/>
      <c r="C15" s="11"/>
      <c r="D15" s="11"/>
      <c r="E15" s="3"/>
      <c r="F15" s="18"/>
      <c r="G15" s="9"/>
      <c r="H15" s="10"/>
      <c r="I15" s="10"/>
      <c r="J15" s="76"/>
      <c r="K15" s="2" t="str">
        <f t="shared" si="0"/>
        <v>Failed!</v>
      </c>
      <c r="L15" s="53"/>
      <c r="M15" s="80"/>
      <c r="N15" s="42"/>
      <c r="O15" s="82"/>
      <c r="P15" s="82"/>
      <c r="Q15" s="82"/>
    </row>
    <row r="16" spans="1:18" hidden="1" x14ac:dyDescent="0.35">
      <c r="A16" s="41"/>
      <c r="B16" s="42"/>
      <c r="C16" s="11"/>
      <c r="D16" s="11"/>
      <c r="E16" s="3"/>
      <c r="F16" s="18"/>
      <c r="G16" s="9"/>
      <c r="H16" s="10"/>
      <c r="I16" s="10"/>
      <c r="J16" s="76"/>
      <c r="K16" s="2" t="str">
        <f t="shared" si="0"/>
        <v>Failed!</v>
      </c>
      <c r="L16" s="53"/>
      <c r="M16" s="80"/>
      <c r="N16" s="42"/>
      <c r="O16" s="82"/>
      <c r="P16" s="82"/>
      <c r="Q16" s="82"/>
    </row>
    <row r="17" spans="1:17" hidden="1" x14ac:dyDescent="0.35">
      <c r="A17" s="41"/>
      <c r="B17" s="42"/>
      <c r="C17" s="11"/>
      <c r="D17" s="11"/>
      <c r="E17" s="3"/>
      <c r="F17" s="18"/>
      <c r="G17" s="9"/>
      <c r="H17" s="10"/>
      <c r="I17" s="10"/>
      <c r="J17" s="76"/>
      <c r="K17" s="2" t="str">
        <f t="shared" si="0"/>
        <v>Failed!</v>
      </c>
      <c r="L17" s="53"/>
      <c r="M17" s="80"/>
      <c r="N17" s="42"/>
      <c r="O17" s="82"/>
      <c r="P17" s="82"/>
      <c r="Q17" s="82"/>
    </row>
    <row r="18" spans="1:17" hidden="1" x14ac:dyDescent="0.35">
      <c r="A18" s="41"/>
      <c r="B18" s="42"/>
      <c r="C18" s="11"/>
      <c r="D18" s="11"/>
      <c r="E18" s="3"/>
      <c r="F18" s="18"/>
      <c r="G18" s="9"/>
      <c r="H18" s="10"/>
      <c r="I18" s="10"/>
      <c r="J18" s="76"/>
      <c r="K18" s="2" t="str">
        <f t="shared" si="0"/>
        <v>Failed!</v>
      </c>
      <c r="L18" s="53"/>
      <c r="M18" s="80"/>
      <c r="N18" s="42"/>
      <c r="O18" s="82"/>
      <c r="P18" s="82"/>
      <c r="Q18" s="82"/>
    </row>
    <row r="19" spans="1:17" hidden="1" x14ac:dyDescent="0.35">
      <c r="A19" s="41"/>
      <c r="B19" s="42"/>
      <c r="C19" s="11"/>
      <c r="D19" s="11"/>
      <c r="E19" s="3"/>
      <c r="F19" s="18"/>
      <c r="G19" s="9"/>
      <c r="H19" s="10"/>
      <c r="I19" s="10"/>
      <c r="J19" s="76"/>
      <c r="K19" s="2" t="str">
        <f t="shared" si="0"/>
        <v>Failed!</v>
      </c>
      <c r="L19" s="53"/>
      <c r="M19" s="80"/>
      <c r="N19" s="42"/>
      <c r="O19" s="82"/>
      <c r="P19" s="82"/>
      <c r="Q19" s="82"/>
    </row>
    <row r="20" spans="1:17" hidden="1" x14ac:dyDescent="0.35">
      <c r="A20" s="41"/>
      <c r="B20" s="42"/>
      <c r="C20" s="11"/>
      <c r="D20" s="11"/>
      <c r="E20" s="3"/>
      <c r="F20" s="18"/>
      <c r="G20" s="9"/>
      <c r="H20" s="10"/>
      <c r="I20" s="10"/>
      <c r="J20" s="76"/>
      <c r="K20" s="2" t="str">
        <f t="shared" si="0"/>
        <v>Failed!</v>
      </c>
      <c r="L20" s="53"/>
      <c r="M20" s="80"/>
      <c r="N20" s="42"/>
      <c r="O20" s="82"/>
      <c r="P20" s="82"/>
      <c r="Q20" s="82"/>
    </row>
    <row r="21" spans="1:17" hidden="1" x14ac:dyDescent="0.35">
      <c r="A21" s="41"/>
      <c r="B21" s="42"/>
      <c r="C21" s="11"/>
      <c r="D21" s="11"/>
      <c r="E21" s="3"/>
      <c r="F21" s="18"/>
      <c r="G21" s="9"/>
      <c r="H21" s="10"/>
      <c r="I21" s="10"/>
      <c r="J21" s="76"/>
      <c r="K21" s="2" t="str">
        <f t="shared" si="0"/>
        <v>Failed!</v>
      </c>
      <c r="L21" s="53"/>
      <c r="M21" s="80"/>
      <c r="N21" s="42"/>
      <c r="O21" s="82"/>
      <c r="P21" s="82"/>
      <c r="Q21" s="82"/>
    </row>
    <row r="22" spans="1:17" hidden="1" x14ac:dyDescent="0.35">
      <c r="A22" s="41"/>
      <c r="B22" s="42"/>
      <c r="C22" s="11"/>
      <c r="D22" s="11"/>
      <c r="E22" s="3"/>
      <c r="F22" s="18"/>
      <c r="G22" s="9"/>
      <c r="H22" s="10"/>
      <c r="I22" s="10"/>
      <c r="J22" s="76"/>
      <c r="K22" s="2" t="str">
        <f t="shared" si="0"/>
        <v>Failed!</v>
      </c>
      <c r="L22" s="53"/>
      <c r="M22" s="80"/>
      <c r="N22" s="42"/>
      <c r="O22" s="82"/>
      <c r="P22" s="82"/>
      <c r="Q22" s="82"/>
    </row>
    <row r="23" spans="1:17" hidden="1" x14ac:dyDescent="0.35">
      <c r="A23" s="41"/>
      <c r="B23" s="42"/>
      <c r="C23" s="11"/>
      <c r="D23" s="11"/>
      <c r="E23" s="3"/>
      <c r="F23" s="18"/>
      <c r="G23" s="9"/>
      <c r="H23" s="10"/>
      <c r="I23" s="10"/>
      <c r="J23" s="76"/>
      <c r="K23" s="2" t="str">
        <f t="shared" si="0"/>
        <v>Failed!</v>
      </c>
      <c r="L23" s="53"/>
      <c r="M23" s="80"/>
      <c r="N23" s="42"/>
      <c r="O23" s="82"/>
      <c r="P23" s="82"/>
      <c r="Q23" s="82"/>
    </row>
    <row r="24" spans="1:17" hidden="1" x14ac:dyDescent="0.35">
      <c r="A24" s="41"/>
      <c r="B24" s="42"/>
      <c r="C24" s="11"/>
      <c r="D24" s="11"/>
      <c r="E24" s="3"/>
      <c r="F24" s="18"/>
      <c r="G24" s="9"/>
      <c r="H24" s="10"/>
      <c r="I24" s="10"/>
      <c r="J24" s="76"/>
      <c r="K24" s="2" t="str">
        <f t="shared" si="0"/>
        <v>Failed!</v>
      </c>
      <c r="L24" s="53"/>
      <c r="M24" s="80"/>
      <c r="N24" s="42"/>
      <c r="O24" s="82"/>
      <c r="P24" s="82"/>
      <c r="Q24" s="82"/>
    </row>
    <row r="25" spans="1:17" hidden="1" x14ac:dyDescent="0.35">
      <c r="A25" s="41"/>
      <c r="B25" s="42"/>
      <c r="C25" s="11"/>
      <c r="D25" s="11"/>
      <c r="E25" s="3"/>
      <c r="F25" s="18"/>
      <c r="G25" s="9"/>
      <c r="H25" s="10"/>
      <c r="I25" s="10"/>
      <c r="J25" s="76"/>
      <c r="K25" s="2" t="str">
        <f t="shared" si="0"/>
        <v>Failed!</v>
      </c>
      <c r="L25" s="53"/>
      <c r="M25" s="80"/>
      <c r="N25" s="42"/>
      <c r="O25" s="82"/>
      <c r="P25" s="82"/>
      <c r="Q25" s="82"/>
    </row>
    <row r="26" spans="1:17" hidden="1" x14ac:dyDescent="0.35">
      <c r="A26" s="41"/>
      <c r="B26" s="42"/>
      <c r="C26" s="11"/>
      <c r="D26" s="11"/>
      <c r="E26" s="3"/>
      <c r="F26" s="18"/>
      <c r="G26" s="9"/>
      <c r="H26" s="10"/>
      <c r="I26" s="10"/>
      <c r="J26" s="76"/>
      <c r="K26" s="2" t="str">
        <f t="shared" si="0"/>
        <v>Failed!</v>
      </c>
      <c r="L26" s="53"/>
      <c r="M26" s="80"/>
      <c r="N26" s="42"/>
      <c r="O26" s="82"/>
      <c r="P26" s="82"/>
      <c r="Q26" s="82"/>
    </row>
    <row r="27" spans="1:17" hidden="1" x14ac:dyDescent="0.35">
      <c r="A27" s="41"/>
      <c r="B27" s="42"/>
      <c r="C27" s="11"/>
      <c r="D27" s="11"/>
      <c r="E27" s="3"/>
      <c r="F27" s="18"/>
      <c r="G27" s="9"/>
      <c r="H27" s="10"/>
      <c r="I27" s="10"/>
      <c r="J27" s="76"/>
      <c r="K27" s="2" t="str">
        <f t="shared" si="0"/>
        <v>Failed!</v>
      </c>
      <c r="L27" s="53"/>
      <c r="M27" s="80"/>
      <c r="N27" s="42"/>
      <c r="O27" s="82"/>
      <c r="P27" s="82"/>
      <c r="Q27" s="82"/>
    </row>
    <row r="28" spans="1:17" hidden="1" x14ac:dyDescent="0.35">
      <c r="A28" s="41"/>
      <c r="B28" s="42"/>
      <c r="C28" s="11"/>
      <c r="D28" s="11"/>
      <c r="E28" s="3"/>
      <c r="F28" s="18"/>
      <c r="G28" s="9"/>
      <c r="H28" s="10"/>
      <c r="I28" s="10"/>
      <c r="J28" s="76"/>
      <c r="K28" s="2" t="str">
        <f t="shared" si="0"/>
        <v>Failed!</v>
      </c>
      <c r="L28" s="53"/>
      <c r="M28" s="80"/>
      <c r="N28" s="42"/>
      <c r="O28" s="82"/>
      <c r="P28" s="82"/>
      <c r="Q28" s="82"/>
    </row>
    <row r="29" spans="1:17" hidden="1" x14ac:dyDescent="0.35">
      <c r="A29" s="41"/>
      <c r="B29" s="42"/>
      <c r="C29" s="11"/>
      <c r="D29" s="11"/>
      <c r="E29" s="3"/>
      <c r="F29" s="18"/>
      <c r="G29" s="9"/>
      <c r="H29" s="10"/>
      <c r="I29" s="10"/>
      <c r="J29" s="76"/>
      <c r="K29" s="2" t="str">
        <f t="shared" si="0"/>
        <v>Failed!</v>
      </c>
      <c r="L29" s="53"/>
      <c r="M29" s="80"/>
      <c r="N29" s="42"/>
      <c r="O29" s="82"/>
      <c r="P29" s="82"/>
      <c r="Q29" s="82"/>
    </row>
    <row r="30" spans="1:17" hidden="1" x14ac:dyDescent="0.35">
      <c r="A30" s="41"/>
      <c r="B30" s="42"/>
      <c r="C30" s="11"/>
      <c r="D30" s="11"/>
      <c r="E30" s="3"/>
      <c r="F30" s="18"/>
      <c r="G30" s="9"/>
      <c r="H30" s="10"/>
      <c r="I30" s="10"/>
      <c r="J30" s="76"/>
      <c r="K30" s="2" t="str">
        <f t="shared" si="0"/>
        <v>Failed!</v>
      </c>
      <c r="L30" s="53"/>
      <c r="M30" s="80"/>
      <c r="N30" s="42"/>
      <c r="O30" s="82"/>
      <c r="P30" s="82"/>
      <c r="Q30" s="82"/>
    </row>
    <row r="31" spans="1:17" hidden="1" x14ac:dyDescent="0.35">
      <c r="A31" s="41"/>
      <c r="B31" s="42"/>
      <c r="C31" s="11"/>
      <c r="D31" s="11"/>
      <c r="E31" s="3"/>
      <c r="F31" s="18"/>
      <c r="G31" s="9"/>
      <c r="H31" s="10"/>
      <c r="I31" s="10"/>
      <c r="J31" s="76"/>
      <c r="K31" s="2" t="str">
        <f t="shared" si="0"/>
        <v>Failed!</v>
      </c>
      <c r="L31" s="53"/>
      <c r="M31" s="80"/>
      <c r="N31" s="42"/>
      <c r="O31" s="82"/>
      <c r="P31" s="82"/>
      <c r="Q31" s="82"/>
    </row>
    <row r="32" spans="1:17" hidden="1" x14ac:dyDescent="0.35">
      <c r="A32" s="41"/>
      <c r="B32" s="42"/>
      <c r="C32" s="11"/>
      <c r="D32" s="11"/>
      <c r="E32" s="3"/>
      <c r="F32" s="18"/>
      <c r="G32" s="9"/>
      <c r="H32" s="10"/>
      <c r="I32" s="10"/>
      <c r="J32" s="76"/>
      <c r="K32" s="2" t="str">
        <f t="shared" si="0"/>
        <v>Failed!</v>
      </c>
      <c r="L32" s="53"/>
      <c r="M32" s="80"/>
      <c r="N32" s="42"/>
      <c r="O32" s="82"/>
      <c r="P32" s="82"/>
      <c r="Q32" s="82"/>
    </row>
    <row r="33" spans="1:17" hidden="1" x14ac:dyDescent="0.35">
      <c r="A33" s="41"/>
      <c r="B33" s="42"/>
      <c r="C33" s="11"/>
      <c r="D33" s="11"/>
      <c r="E33" s="3"/>
      <c r="F33" s="18"/>
      <c r="G33" s="9"/>
      <c r="H33" s="10"/>
      <c r="I33" s="10"/>
      <c r="J33" s="76"/>
      <c r="K33" s="2" t="str">
        <f t="shared" si="0"/>
        <v>Failed!</v>
      </c>
      <c r="L33" s="53"/>
      <c r="M33" s="80"/>
      <c r="N33" s="42"/>
      <c r="O33" s="82"/>
      <c r="P33" s="82"/>
      <c r="Q33" s="82"/>
    </row>
    <row r="34" spans="1:17" hidden="1" x14ac:dyDescent="0.35">
      <c r="A34" s="41"/>
      <c r="B34" s="42"/>
      <c r="C34" s="11"/>
      <c r="D34" s="11"/>
      <c r="E34" s="3"/>
      <c r="F34" s="18"/>
      <c r="G34" s="9"/>
      <c r="H34" s="10"/>
      <c r="I34" s="10"/>
      <c r="J34" s="76"/>
      <c r="K34" s="2" t="str">
        <f t="shared" si="0"/>
        <v>Failed!</v>
      </c>
      <c r="L34" s="53"/>
      <c r="M34" s="80"/>
      <c r="N34" s="42"/>
      <c r="O34" s="82"/>
      <c r="P34" s="82"/>
      <c r="Q34" s="82"/>
    </row>
    <row r="35" spans="1:17" hidden="1" x14ac:dyDescent="0.35">
      <c r="A35" s="41"/>
      <c r="B35" s="42"/>
      <c r="C35" s="11"/>
      <c r="D35" s="11"/>
      <c r="E35" s="3"/>
      <c r="F35" s="18"/>
      <c r="G35" s="9"/>
      <c r="H35" s="10"/>
      <c r="I35" s="10"/>
      <c r="J35" s="76"/>
      <c r="K35" s="2" t="str">
        <f t="shared" si="0"/>
        <v>Failed!</v>
      </c>
      <c r="L35" s="53"/>
      <c r="M35" s="80"/>
      <c r="N35" s="42"/>
      <c r="O35" s="82"/>
      <c r="P35" s="82"/>
      <c r="Q35" s="82"/>
    </row>
    <row r="36" spans="1:17" hidden="1" x14ac:dyDescent="0.35">
      <c r="A36" s="41"/>
      <c r="B36" s="42"/>
      <c r="C36" s="11"/>
      <c r="D36" s="11"/>
      <c r="E36" s="3"/>
      <c r="F36" s="18"/>
      <c r="G36" s="9"/>
      <c r="H36" s="10"/>
      <c r="I36" s="10"/>
      <c r="J36" s="76"/>
      <c r="K36" s="2" t="str">
        <f t="shared" si="0"/>
        <v>Failed!</v>
      </c>
      <c r="L36" s="53"/>
      <c r="M36" s="80"/>
      <c r="N36" s="42"/>
      <c r="O36" s="82"/>
      <c r="P36" s="82"/>
      <c r="Q36" s="82"/>
    </row>
    <row r="37" spans="1:17" hidden="1" x14ac:dyDescent="0.35">
      <c r="A37" s="41"/>
      <c r="B37" s="42"/>
      <c r="C37" s="11"/>
      <c r="D37" s="11"/>
      <c r="E37" s="3"/>
      <c r="F37" s="18"/>
      <c r="G37" s="9"/>
      <c r="H37" s="10"/>
      <c r="I37" s="10"/>
      <c r="J37" s="76"/>
      <c r="K37" s="2" t="str">
        <f t="shared" si="0"/>
        <v>Failed!</v>
      </c>
      <c r="L37" s="53"/>
      <c r="M37" s="80"/>
      <c r="N37" s="42"/>
      <c r="O37" s="82"/>
      <c r="P37" s="82"/>
      <c r="Q37" s="82"/>
    </row>
    <row r="38" spans="1:17" hidden="1" x14ac:dyDescent="0.35">
      <c r="A38" s="41"/>
      <c r="B38" s="42"/>
      <c r="C38" s="11"/>
      <c r="D38" s="11"/>
      <c r="E38" s="3"/>
      <c r="F38" s="18"/>
      <c r="G38" s="9"/>
      <c r="H38" s="10"/>
      <c r="I38" s="10"/>
      <c r="J38" s="76"/>
      <c r="K38" s="2" t="str">
        <f t="shared" si="0"/>
        <v>Failed!</v>
      </c>
      <c r="L38" s="53"/>
      <c r="M38" s="80"/>
      <c r="N38" s="42"/>
      <c r="O38" s="82"/>
      <c r="P38" s="82"/>
      <c r="Q38" s="82"/>
    </row>
    <row r="39" spans="1:17" hidden="1" x14ac:dyDescent="0.35">
      <c r="A39" s="41"/>
      <c r="B39" s="42"/>
      <c r="C39" s="11"/>
      <c r="D39" s="11"/>
      <c r="E39" s="3"/>
      <c r="F39" s="18"/>
      <c r="G39" s="9"/>
      <c r="H39" s="10"/>
      <c r="I39" s="10"/>
      <c r="J39" s="76"/>
      <c r="K39" s="2" t="str">
        <f t="shared" si="0"/>
        <v>Failed!</v>
      </c>
      <c r="L39" s="53"/>
      <c r="M39" s="80"/>
      <c r="N39" s="42"/>
      <c r="O39" s="82"/>
      <c r="P39" s="82"/>
      <c r="Q39" s="82"/>
    </row>
    <row r="40" spans="1:17" hidden="1" x14ac:dyDescent="0.35">
      <c r="A40" s="41"/>
      <c r="B40" s="42"/>
      <c r="C40" s="11"/>
      <c r="D40" s="11"/>
      <c r="E40" s="3"/>
      <c r="F40" s="18"/>
      <c r="G40" s="9"/>
      <c r="H40" s="10"/>
      <c r="I40" s="10"/>
      <c r="J40" s="76"/>
      <c r="K40" s="2" t="str">
        <f t="shared" si="0"/>
        <v>Failed!</v>
      </c>
      <c r="L40" s="53"/>
      <c r="M40" s="80"/>
      <c r="N40" s="42"/>
      <c r="O40" s="82"/>
      <c r="P40" s="82"/>
      <c r="Q40" s="82"/>
    </row>
    <row r="41" spans="1:17" hidden="1" x14ac:dyDescent="0.35">
      <c r="A41" s="41"/>
      <c r="B41" s="42"/>
      <c r="C41" s="11"/>
      <c r="D41" s="11"/>
      <c r="E41" s="3"/>
      <c r="F41" s="18"/>
      <c r="G41" s="9"/>
      <c r="H41" s="10"/>
      <c r="I41" s="10"/>
      <c r="J41" s="76"/>
      <c r="K41" s="2" t="str">
        <f t="shared" si="0"/>
        <v>Failed!</v>
      </c>
      <c r="L41" s="53"/>
      <c r="M41" s="80"/>
      <c r="N41" s="42"/>
      <c r="O41" s="82"/>
      <c r="P41" s="82"/>
      <c r="Q41" s="82"/>
    </row>
    <row r="42" spans="1:17" hidden="1" x14ac:dyDescent="0.35">
      <c r="A42" s="41"/>
      <c r="B42" s="42"/>
      <c r="C42" s="11"/>
      <c r="D42" s="11"/>
      <c r="E42" s="3"/>
      <c r="F42" s="18"/>
      <c r="G42" s="9"/>
      <c r="H42" s="10"/>
      <c r="I42" s="10"/>
      <c r="J42" s="76"/>
      <c r="K42" s="2" t="str">
        <f t="shared" si="0"/>
        <v>Failed!</v>
      </c>
      <c r="L42" s="53"/>
      <c r="M42" s="80"/>
      <c r="N42" s="42"/>
      <c r="O42" s="82"/>
      <c r="P42" s="82"/>
      <c r="Q42" s="82"/>
    </row>
    <row r="43" spans="1:17" hidden="1" x14ac:dyDescent="0.35">
      <c r="A43" s="41"/>
      <c r="B43" s="42"/>
      <c r="C43" s="11"/>
      <c r="D43" s="11"/>
      <c r="E43" s="3"/>
      <c r="F43" s="18"/>
      <c r="G43" s="9"/>
      <c r="H43" s="10"/>
      <c r="I43" s="10"/>
      <c r="J43" s="76"/>
      <c r="K43" s="2" t="str">
        <f t="shared" si="0"/>
        <v>Failed!</v>
      </c>
      <c r="L43" s="53"/>
      <c r="M43" s="80"/>
      <c r="N43" s="42"/>
      <c r="O43" s="82"/>
      <c r="P43" s="82"/>
      <c r="Q43" s="82"/>
    </row>
    <row r="44" spans="1:17" hidden="1" x14ac:dyDescent="0.35">
      <c r="A44" s="41"/>
      <c r="B44" s="42"/>
      <c r="C44" s="11"/>
      <c r="D44" s="11"/>
      <c r="E44" s="3"/>
      <c r="F44" s="18"/>
      <c r="G44" s="9"/>
      <c r="H44" s="10"/>
      <c r="I44" s="10"/>
      <c r="J44" s="76"/>
      <c r="K44" s="2" t="str">
        <f t="shared" si="0"/>
        <v>Failed!</v>
      </c>
      <c r="L44" s="53"/>
      <c r="M44" s="80"/>
      <c r="N44" s="42"/>
      <c r="O44" s="82"/>
      <c r="P44" s="82"/>
      <c r="Q44" s="82"/>
    </row>
    <row r="45" spans="1:17" hidden="1" x14ac:dyDescent="0.35">
      <c r="A45" s="41"/>
      <c r="B45" s="42"/>
      <c r="C45" s="11"/>
      <c r="D45" s="11"/>
      <c r="E45" s="3"/>
      <c r="F45" s="18"/>
      <c r="G45" s="9"/>
      <c r="H45" s="10"/>
      <c r="I45" s="10"/>
      <c r="J45" s="76"/>
      <c r="K45" s="2" t="str">
        <f t="shared" si="0"/>
        <v>Failed!</v>
      </c>
      <c r="L45" s="53"/>
      <c r="M45" s="80"/>
      <c r="N45" s="42"/>
      <c r="O45" s="82"/>
      <c r="P45" s="82"/>
      <c r="Q45" s="82"/>
    </row>
    <row r="46" spans="1:17" hidden="1" x14ac:dyDescent="0.35">
      <c r="A46" s="41"/>
      <c r="B46" s="42"/>
      <c r="C46" s="11"/>
      <c r="D46" s="11"/>
      <c r="E46" s="3"/>
      <c r="F46" s="18"/>
      <c r="G46" s="9"/>
      <c r="H46" s="10"/>
      <c r="I46" s="10"/>
      <c r="J46" s="76"/>
      <c r="K46" s="2" t="str">
        <f t="shared" si="0"/>
        <v>Failed!</v>
      </c>
      <c r="L46" s="53"/>
      <c r="M46" s="80"/>
      <c r="N46" s="42"/>
      <c r="O46" s="82"/>
      <c r="P46" s="82"/>
      <c r="Q46" s="82"/>
    </row>
    <row r="47" spans="1:17" hidden="1" x14ac:dyDescent="0.35">
      <c r="A47" s="41"/>
      <c r="B47" s="42"/>
      <c r="C47" s="11"/>
      <c r="D47" s="11"/>
      <c r="E47" s="3"/>
      <c r="F47" s="18"/>
      <c r="G47" s="9"/>
      <c r="H47" s="10"/>
      <c r="I47" s="10"/>
      <c r="J47" s="76"/>
      <c r="K47" s="2" t="str">
        <f t="shared" si="0"/>
        <v>Failed!</v>
      </c>
      <c r="L47" s="53"/>
      <c r="M47" s="80"/>
      <c r="N47" s="42"/>
      <c r="O47" s="82"/>
      <c r="P47" s="82"/>
      <c r="Q47" s="82"/>
    </row>
    <row r="48" spans="1:17" hidden="1" x14ac:dyDescent="0.35">
      <c r="A48" s="41"/>
      <c r="B48" s="42"/>
      <c r="C48" s="11"/>
      <c r="D48" s="11"/>
      <c r="E48" s="3"/>
      <c r="F48" s="18"/>
      <c r="G48" s="9"/>
      <c r="H48" s="10"/>
      <c r="I48" s="10"/>
      <c r="J48" s="76"/>
      <c r="K48" s="2" t="str">
        <f t="shared" si="0"/>
        <v>Failed!</v>
      </c>
      <c r="L48" s="53"/>
      <c r="M48" s="80"/>
      <c r="N48" s="42"/>
      <c r="O48" s="82"/>
      <c r="P48" s="82"/>
      <c r="Q48" s="82"/>
    </row>
    <row r="49" spans="1:17" hidden="1" x14ac:dyDescent="0.35">
      <c r="A49" s="41"/>
      <c r="B49" s="42"/>
      <c r="C49" s="11"/>
      <c r="D49" s="11"/>
      <c r="E49" s="3"/>
      <c r="F49" s="19"/>
      <c r="G49" s="1"/>
      <c r="H49" s="12"/>
      <c r="I49" s="12"/>
      <c r="J49" s="77"/>
      <c r="K49" s="2" t="str">
        <f t="shared" si="0"/>
        <v>Failed!</v>
      </c>
      <c r="L49" s="53"/>
      <c r="M49" s="80"/>
      <c r="N49" s="42"/>
      <c r="O49" s="82"/>
      <c r="P49" s="82"/>
      <c r="Q49" s="82"/>
    </row>
    <row r="50" spans="1:17" hidden="1" x14ac:dyDescent="0.35">
      <c r="A50" s="41"/>
      <c r="B50" s="42"/>
      <c r="C50" s="11"/>
      <c r="D50" s="11"/>
      <c r="E50" s="3"/>
      <c r="F50" s="19"/>
      <c r="G50" s="1"/>
      <c r="H50" s="12"/>
      <c r="I50" s="12"/>
      <c r="J50" s="77"/>
      <c r="K50" s="2" t="str">
        <f t="shared" si="0"/>
        <v>Failed!</v>
      </c>
      <c r="L50" s="53"/>
      <c r="M50" s="80"/>
      <c r="N50" s="42"/>
      <c r="O50" s="82"/>
      <c r="P50" s="82"/>
      <c r="Q50" s="82"/>
    </row>
    <row r="51" spans="1:17" hidden="1" x14ac:dyDescent="0.35">
      <c r="A51" s="41"/>
      <c r="B51" s="42"/>
      <c r="C51" s="11"/>
      <c r="D51" s="11"/>
      <c r="E51" s="3"/>
      <c r="F51" s="19"/>
      <c r="G51" s="1"/>
      <c r="H51" s="12"/>
      <c r="I51" s="12"/>
      <c r="J51" s="77"/>
      <c r="K51" s="2" t="str">
        <f t="shared" si="0"/>
        <v>Failed!</v>
      </c>
      <c r="L51" s="53"/>
      <c r="M51" s="80"/>
      <c r="N51" s="42"/>
      <c r="O51" s="82"/>
      <c r="P51" s="82"/>
      <c r="Q51" s="82"/>
    </row>
    <row r="52" spans="1:17" hidden="1" x14ac:dyDescent="0.35">
      <c r="A52" s="41"/>
      <c r="B52" s="42"/>
      <c r="C52" s="11"/>
      <c r="D52" s="11"/>
      <c r="E52" s="3"/>
      <c r="F52" s="19"/>
      <c r="G52" s="1"/>
      <c r="H52" s="12"/>
      <c r="I52" s="12"/>
      <c r="J52" s="77"/>
      <c r="K52" s="2" t="str">
        <f t="shared" si="0"/>
        <v>Failed!</v>
      </c>
      <c r="L52" s="53"/>
      <c r="M52" s="80"/>
      <c r="N52" s="42"/>
      <c r="O52" s="82"/>
      <c r="P52" s="82"/>
      <c r="Q52" s="82"/>
    </row>
    <row r="53" spans="1:17" hidden="1" x14ac:dyDescent="0.35">
      <c r="A53" s="41"/>
      <c r="B53" s="42"/>
      <c r="C53" s="11"/>
      <c r="D53" s="11"/>
      <c r="E53" s="3"/>
      <c r="F53" s="19"/>
      <c r="G53" s="1"/>
      <c r="H53" s="12"/>
      <c r="I53" s="12"/>
      <c r="J53" s="77"/>
      <c r="K53" s="2" t="str">
        <f t="shared" si="0"/>
        <v>Failed!</v>
      </c>
      <c r="L53" s="53"/>
      <c r="M53" s="80"/>
      <c r="N53" s="42"/>
      <c r="O53" s="82"/>
      <c r="P53" s="82"/>
      <c r="Q53" s="82"/>
    </row>
    <row r="54" spans="1:17" hidden="1" x14ac:dyDescent="0.35">
      <c r="A54" s="41"/>
      <c r="B54" s="42"/>
      <c r="C54" s="11"/>
      <c r="D54" s="11"/>
      <c r="E54" s="3"/>
      <c r="F54" s="19"/>
      <c r="G54" s="1"/>
      <c r="H54" s="12"/>
      <c r="I54" s="12"/>
      <c r="J54" s="77"/>
      <c r="K54" s="2" t="str">
        <f t="shared" si="0"/>
        <v>Failed!</v>
      </c>
      <c r="L54" s="53"/>
      <c r="M54" s="80"/>
      <c r="N54" s="42"/>
      <c r="O54" s="82"/>
      <c r="P54" s="82"/>
      <c r="Q54" s="82"/>
    </row>
    <row r="55" spans="1:17" hidden="1" x14ac:dyDescent="0.35">
      <c r="A55" s="41"/>
      <c r="B55" s="42"/>
      <c r="C55" s="11"/>
      <c r="D55" s="11"/>
      <c r="E55" s="3"/>
      <c r="F55" s="19"/>
      <c r="G55" s="1"/>
      <c r="H55" s="12"/>
      <c r="I55" s="12"/>
      <c r="J55" s="77"/>
      <c r="K55" s="2" t="str">
        <f t="shared" si="0"/>
        <v>Failed!</v>
      </c>
      <c r="L55" s="53"/>
      <c r="M55" s="80"/>
      <c r="N55" s="42"/>
      <c r="O55" s="82"/>
      <c r="P55" s="82"/>
      <c r="Q55" s="82"/>
    </row>
    <row r="56" spans="1:17" hidden="1" x14ac:dyDescent="0.35">
      <c r="A56" s="41"/>
      <c r="B56" s="42"/>
      <c r="C56" s="11"/>
      <c r="D56" s="11"/>
      <c r="E56" s="3"/>
      <c r="F56" s="19"/>
      <c r="G56" s="1"/>
      <c r="H56" s="12"/>
      <c r="I56" s="12"/>
      <c r="J56" s="77"/>
      <c r="K56" s="2" t="str">
        <f t="shared" si="0"/>
        <v>Failed!</v>
      </c>
      <c r="L56" s="53"/>
      <c r="M56" s="80"/>
      <c r="N56" s="42"/>
      <c r="O56" s="82"/>
      <c r="P56" s="82"/>
      <c r="Q56" s="82"/>
    </row>
    <row r="57" spans="1:17" hidden="1" x14ac:dyDescent="0.35">
      <c r="A57" s="41"/>
      <c r="B57" s="42"/>
      <c r="C57" s="11"/>
      <c r="D57" s="11"/>
      <c r="E57" s="3"/>
      <c r="F57" s="19"/>
      <c r="G57" s="1"/>
      <c r="H57" s="12"/>
      <c r="I57" s="12"/>
      <c r="J57" s="77"/>
      <c r="K57" s="2" t="str">
        <f t="shared" si="0"/>
        <v>Failed!</v>
      </c>
      <c r="L57" s="53"/>
      <c r="M57" s="80"/>
      <c r="N57" s="42"/>
      <c r="O57" s="82"/>
      <c r="P57" s="82"/>
      <c r="Q57" s="82"/>
    </row>
    <row r="58" spans="1:17" hidden="1" x14ac:dyDescent="0.35">
      <c r="A58" s="41"/>
      <c r="B58" s="42"/>
      <c r="C58" s="11"/>
      <c r="D58" s="11"/>
      <c r="E58" s="3"/>
      <c r="F58" s="19"/>
      <c r="G58" s="1"/>
      <c r="H58" s="12"/>
      <c r="I58" s="12"/>
      <c r="J58" s="77"/>
      <c r="K58" s="2" t="str">
        <f t="shared" si="0"/>
        <v>Failed!</v>
      </c>
      <c r="L58" s="53"/>
      <c r="M58" s="80"/>
      <c r="N58" s="42"/>
      <c r="O58" s="82"/>
      <c r="P58" s="82"/>
      <c r="Q58" s="82"/>
    </row>
    <row r="59" spans="1:17" hidden="1" x14ac:dyDescent="0.35">
      <c r="A59" s="41"/>
      <c r="B59" s="42"/>
      <c r="C59" s="11"/>
      <c r="D59" s="11"/>
      <c r="E59" s="3"/>
      <c r="F59" s="18"/>
      <c r="G59" s="9"/>
      <c r="H59" s="10"/>
      <c r="I59" s="10"/>
      <c r="J59" s="76"/>
      <c r="K59" s="2" t="str">
        <f t="shared" si="0"/>
        <v>Failed!</v>
      </c>
      <c r="L59" s="53"/>
      <c r="M59" s="80"/>
      <c r="N59" s="42"/>
      <c r="O59" s="82"/>
      <c r="P59" s="82"/>
      <c r="Q59" s="82"/>
    </row>
    <row r="60" spans="1:17" hidden="1" x14ac:dyDescent="0.35">
      <c r="A60" s="41"/>
      <c r="B60" s="42"/>
      <c r="C60" s="11"/>
      <c r="D60" s="11"/>
      <c r="E60" s="3"/>
      <c r="F60" s="18"/>
      <c r="G60" s="9"/>
      <c r="H60" s="10"/>
      <c r="I60" s="10"/>
      <c r="J60" s="76"/>
      <c r="K60" s="2" t="str">
        <f t="shared" si="0"/>
        <v>Failed!</v>
      </c>
      <c r="L60" s="53"/>
      <c r="M60" s="80"/>
      <c r="N60" s="42"/>
      <c r="O60" s="82"/>
      <c r="P60" s="82"/>
      <c r="Q60" s="82"/>
    </row>
    <row r="61" spans="1:17" hidden="1" x14ac:dyDescent="0.35">
      <c r="A61" s="41"/>
      <c r="B61" s="42"/>
      <c r="C61" s="11"/>
      <c r="D61" s="11"/>
      <c r="E61" s="3"/>
      <c r="F61" s="18"/>
      <c r="G61" s="9"/>
      <c r="H61" s="10"/>
      <c r="I61" s="10"/>
      <c r="J61" s="76"/>
      <c r="K61" s="2" t="str">
        <f t="shared" si="0"/>
        <v>Failed!</v>
      </c>
      <c r="L61" s="53"/>
      <c r="M61" s="80"/>
      <c r="N61" s="42"/>
      <c r="O61" s="82"/>
      <c r="P61" s="82"/>
      <c r="Q61" s="82"/>
    </row>
    <row r="62" spans="1:17" hidden="1" x14ac:dyDescent="0.35">
      <c r="A62" s="41"/>
      <c r="B62" s="42"/>
      <c r="C62" s="11"/>
      <c r="D62" s="11"/>
      <c r="E62" s="3"/>
      <c r="F62" s="18"/>
      <c r="G62" s="9"/>
      <c r="H62" s="10"/>
      <c r="I62" s="10"/>
      <c r="J62" s="76"/>
      <c r="K62" s="2" t="str">
        <f t="shared" si="0"/>
        <v>Failed!</v>
      </c>
      <c r="L62" s="53"/>
      <c r="M62" s="80"/>
      <c r="N62" s="42"/>
      <c r="O62" s="82"/>
      <c r="P62" s="82"/>
      <c r="Q62" s="82"/>
    </row>
    <row r="63" spans="1:17" hidden="1" x14ac:dyDescent="0.35">
      <c r="A63" s="41"/>
      <c r="B63" s="42"/>
      <c r="C63" s="11"/>
      <c r="D63" s="11"/>
      <c r="E63" s="3"/>
      <c r="F63" s="18"/>
      <c r="G63" s="9"/>
      <c r="H63" s="10"/>
      <c r="I63" s="10"/>
      <c r="J63" s="76"/>
      <c r="K63" s="2" t="str">
        <f t="shared" si="0"/>
        <v>Failed!</v>
      </c>
      <c r="L63" s="53"/>
      <c r="M63" s="80"/>
      <c r="N63" s="42"/>
      <c r="O63" s="82"/>
      <c r="P63" s="82"/>
      <c r="Q63" s="82"/>
    </row>
    <row r="64" spans="1:17" hidden="1" x14ac:dyDescent="0.35">
      <c r="A64" s="41"/>
      <c r="B64" s="42"/>
      <c r="C64" s="11"/>
      <c r="D64" s="11"/>
      <c r="E64" s="3"/>
      <c r="F64" s="18"/>
      <c r="G64" s="9"/>
      <c r="H64" s="10"/>
      <c r="I64" s="10"/>
      <c r="J64" s="76"/>
      <c r="K64" s="2" t="str">
        <f t="shared" si="0"/>
        <v>Failed!</v>
      </c>
      <c r="L64" s="53"/>
      <c r="M64" s="80"/>
      <c r="N64" s="42"/>
      <c r="O64" s="82"/>
      <c r="P64" s="82"/>
      <c r="Q64" s="82"/>
    </row>
    <row r="65" spans="1:17" hidden="1" x14ac:dyDescent="0.35">
      <c r="A65" s="41"/>
      <c r="B65" s="42"/>
      <c r="C65" s="11"/>
      <c r="D65" s="11"/>
      <c r="E65" s="3"/>
      <c r="F65" s="18"/>
      <c r="G65" s="9"/>
      <c r="H65" s="10"/>
      <c r="I65" s="10"/>
      <c r="J65" s="76"/>
      <c r="K65" s="2" t="str">
        <f t="shared" si="0"/>
        <v>Failed!</v>
      </c>
      <c r="L65" s="53"/>
      <c r="M65" s="80"/>
      <c r="N65" s="42"/>
      <c r="O65" s="82"/>
      <c r="P65" s="82"/>
      <c r="Q65" s="82"/>
    </row>
    <row r="66" spans="1:17" hidden="1" x14ac:dyDescent="0.35">
      <c r="A66" s="41"/>
      <c r="B66" s="42"/>
      <c r="C66" s="11"/>
      <c r="D66" s="11"/>
      <c r="E66" s="3"/>
      <c r="F66" s="18"/>
      <c r="G66" s="9"/>
      <c r="H66" s="10"/>
      <c r="I66" s="10"/>
      <c r="J66" s="76"/>
      <c r="K66" s="2" t="str">
        <f t="shared" si="0"/>
        <v>Failed!</v>
      </c>
      <c r="L66" s="53"/>
      <c r="M66" s="80"/>
      <c r="N66" s="42"/>
      <c r="O66" s="82"/>
      <c r="P66" s="82"/>
      <c r="Q66" s="82"/>
    </row>
    <row r="67" spans="1:17" hidden="1" x14ac:dyDescent="0.35">
      <c r="A67" s="41"/>
      <c r="B67" s="42"/>
      <c r="C67" s="11"/>
      <c r="D67" s="11"/>
      <c r="E67" s="3"/>
      <c r="F67" s="18"/>
      <c r="G67" s="9"/>
      <c r="H67" s="10"/>
      <c r="I67" s="10"/>
      <c r="J67" s="76"/>
      <c r="K67" s="2" t="str">
        <f t="shared" si="0"/>
        <v>Failed!</v>
      </c>
      <c r="L67" s="53"/>
      <c r="M67" s="80"/>
      <c r="N67" s="42"/>
      <c r="O67" s="82"/>
      <c r="P67" s="82"/>
      <c r="Q67" s="82"/>
    </row>
    <row r="68" spans="1:17" hidden="1" x14ac:dyDescent="0.35">
      <c r="A68" s="41"/>
      <c r="B68" s="42"/>
      <c r="C68" s="11"/>
      <c r="D68" s="11"/>
      <c r="E68" s="3"/>
      <c r="F68" s="18"/>
      <c r="G68" s="9"/>
      <c r="H68" s="10"/>
      <c r="I68" s="10"/>
      <c r="J68" s="76"/>
      <c r="K68" s="2" t="str">
        <f t="shared" si="0"/>
        <v>Failed!</v>
      </c>
      <c r="L68" s="53"/>
      <c r="M68" s="80"/>
      <c r="N68" s="42"/>
      <c r="O68" s="82"/>
      <c r="P68" s="82"/>
      <c r="Q68" s="82"/>
    </row>
    <row r="69" spans="1:17" hidden="1" x14ac:dyDescent="0.35">
      <c r="A69" s="41"/>
      <c r="B69" s="42"/>
      <c r="C69" s="11"/>
      <c r="D69" s="11"/>
      <c r="E69" s="3"/>
      <c r="F69" s="18"/>
      <c r="G69" s="9"/>
      <c r="H69" s="10"/>
      <c r="I69" s="10"/>
      <c r="J69" s="76"/>
      <c r="K69" s="2" t="str">
        <f t="shared" si="0"/>
        <v>Failed!</v>
      </c>
      <c r="L69" s="53"/>
      <c r="M69" s="80"/>
      <c r="N69" s="42"/>
      <c r="O69" s="82"/>
      <c r="P69" s="82"/>
      <c r="Q69" s="82"/>
    </row>
    <row r="70" spans="1:17" hidden="1" x14ac:dyDescent="0.35">
      <c r="A70" s="41"/>
      <c r="B70" s="42"/>
      <c r="C70" s="11"/>
      <c r="D70" s="11"/>
      <c r="E70" s="3"/>
      <c r="F70" s="18"/>
      <c r="G70" s="9"/>
      <c r="H70" s="10"/>
      <c r="I70" s="10"/>
      <c r="J70" s="76"/>
      <c r="K70" s="2" t="str">
        <f t="shared" si="0"/>
        <v>Failed!</v>
      </c>
      <c r="L70" s="53"/>
      <c r="M70" s="80"/>
      <c r="N70" s="42"/>
      <c r="O70" s="82"/>
      <c r="P70" s="82"/>
      <c r="Q70" s="82"/>
    </row>
    <row r="71" spans="1:17" hidden="1" x14ac:dyDescent="0.35">
      <c r="A71" s="41"/>
      <c r="B71" s="42"/>
      <c r="C71" s="11"/>
      <c r="D71" s="11"/>
      <c r="E71" s="3"/>
      <c r="F71" s="18"/>
      <c r="G71" s="9"/>
      <c r="H71" s="10"/>
      <c r="I71" s="10"/>
      <c r="J71" s="76"/>
      <c r="K71" s="2" t="str">
        <f t="shared" si="0"/>
        <v>Failed!</v>
      </c>
      <c r="L71" s="53"/>
      <c r="M71" s="80"/>
      <c r="N71" s="42"/>
      <c r="O71" s="82"/>
      <c r="P71" s="82"/>
      <c r="Q71" s="82"/>
    </row>
    <row r="72" spans="1:17" hidden="1" x14ac:dyDescent="0.35">
      <c r="A72" s="41"/>
      <c r="B72" s="42"/>
      <c r="C72" s="11"/>
      <c r="D72" s="11"/>
      <c r="E72" s="3"/>
      <c r="F72" s="18"/>
      <c r="G72" s="9"/>
      <c r="H72" s="10"/>
      <c r="I72" s="10"/>
      <c r="J72" s="76"/>
      <c r="K72" s="2" t="str">
        <f t="shared" si="0"/>
        <v>Failed!</v>
      </c>
      <c r="L72" s="53"/>
      <c r="M72" s="80"/>
      <c r="N72" s="42"/>
      <c r="O72" s="82"/>
      <c r="P72" s="82"/>
      <c r="Q72" s="82"/>
    </row>
    <row r="73" spans="1:17" hidden="1" x14ac:dyDescent="0.35">
      <c r="A73" s="41"/>
      <c r="B73" s="42"/>
      <c r="C73" s="11"/>
      <c r="D73" s="11"/>
      <c r="E73" s="3"/>
      <c r="F73" s="18"/>
      <c r="G73" s="9"/>
      <c r="H73" s="10"/>
      <c r="I73" s="10"/>
      <c r="J73" s="76"/>
      <c r="K73" s="2" t="str">
        <f t="shared" si="0"/>
        <v>Failed!</v>
      </c>
      <c r="L73" s="53"/>
      <c r="M73" s="80"/>
      <c r="N73" s="42"/>
      <c r="O73" s="82"/>
      <c r="P73" s="82"/>
      <c r="Q73" s="82"/>
    </row>
    <row r="74" spans="1:17" hidden="1" x14ac:dyDescent="0.35">
      <c r="A74" s="41"/>
      <c r="B74" s="42"/>
      <c r="C74" s="11"/>
      <c r="D74" s="11"/>
      <c r="E74" s="3"/>
      <c r="F74" s="18"/>
      <c r="G74" s="9"/>
      <c r="H74" s="10"/>
      <c r="I74" s="10"/>
      <c r="J74" s="76"/>
      <c r="K74" s="2" t="str">
        <f t="shared" ref="K74:K88" si="1">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1"/>
        <v>Failed!</v>
      </c>
      <c r="L75" s="53"/>
      <c r="M75" s="80"/>
      <c r="N75" s="42"/>
      <c r="O75" s="82"/>
      <c r="P75" s="82"/>
      <c r="Q75" s="82"/>
    </row>
    <row r="76" spans="1:17" hidden="1" x14ac:dyDescent="0.35">
      <c r="A76" s="41"/>
      <c r="B76" s="42"/>
      <c r="C76" s="11"/>
      <c r="D76" s="11"/>
      <c r="E76" s="3"/>
      <c r="F76" s="18"/>
      <c r="G76" s="9"/>
      <c r="H76" s="10"/>
      <c r="I76" s="10"/>
      <c r="J76" s="76"/>
      <c r="K76" s="2" t="str">
        <f t="shared" si="1"/>
        <v>Failed!</v>
      </c>
      <c r="L76" s="53"/>
      <c r="M76" s="80"/>
      <c r="N76" s="42"/>
      <c r="O76" s="82"/>
      <c r="P76" s="82"/>
      <c r="Q76" s="82"/>
    </row>
    <row r="77" spans="1:17" hidden="1" x14ac:dyDescent="0.35">
      <c r="A77" s="41"/>
      <c r="B77" s="42"/>
      <c r="C77" s="11"/>
      <c r="D77" s="11"/>
      <c r="E77" s="3"/>
      <c r="F77" s="18"/>
      <c r="G77" s="9"/>
      <c r="H77" s="10"/>
      <c r="I77" s="10"/>
      <c r="J77" s="76"/>
      <c r="K77" s="2" t="str">
        <f t="shared" si="1"/>
        <v>Failed!</v>
      </c>
      <c r="L77" s="53"/>
      <c r="M77" s="80"/>
      <c r="N77" s="42"/>
      <c r="O77" s="82"/>
      <c r="P77" s="82"/>
      <c r="Q77" s="82"/>
    </row>
    <row r="78" spans="1:17" hidden="1" x14ac:dyDescent="0.35">
      <c r="A78" s="41"/>
      <c r="B78" s="42"/>
      <c r="C78" s="11"/>
      <c r="D78" s="11"/>
      <c r="E78" s="3"/>
      <c r="F78" s="18"/>
      <c r="G78" s="9"/>
      <c r="H78" s="10"/>
      <c r="I78" s="10"/>
      <c r="J78" s="76"/>
      <c r="K78" s="2" t="str">
        <f t="shared" si="1"/>
        <v>Failed!</v>
      </c>
      <c r="L78" s="53"/>
      <c r="M78" s="80"/>
      <c r="N78" s="42"/>
      <c r="O78" s="82"/>
      <c r="P78" s="82"/>
      <c r="Q78" s="82"/>
    </row>
    <row r="79" spans="1:17" hidden="1" x14ac:dyDescent="0.35">
      <c r="A79" s="41"/>
      <c r="B79" s="42"/>
      <c r="C79" s="11"/>
      <c r="D79" s="11"/>
      <c r="E79" s="3"/>
      <c r="F79" s="18"/>
      <c r="G79" s="9"/>
      <c r="H79" s="10"/>
      <c r="I79" s="10"/>
      <c r="J79" s="76"/>
      <c r="K79" s="2" t="str">
        <f t="shared" si="1"/>
        <v>Failed!</v>
      </c>
      <c r="L79" s="53"/>
      <c r="M79" s="80"/>
      <c r="N79" s="42"/>
      <c r="O79" s="82"/>
      <c r="P79" s="82"/>
      <c r="Q79" s="82"/>
    </row>
    <row r="80" spans="1:17" hidden="1" x14ac:dyDescent="0.35">
      <c r="A80" s="41"/>
      <c r="B80" s="42"/>
      <c r="C80" s="11"/>
      <c r="D80" s="11"/>
      <c r="E80" s="3"/>
      <c r="F80" s="18"/>
      <c r="G80" s="9"/>
      <c r="H80" s="10"/>
      <c r="I80" s="10"/>
      <c r="J80" s="76"/>
      <c r="K80" s="2" t="str">
        <f t="shared" si="1"/>
        <v>Failed!</v>
      </c>
      <c r="L80" s="53"/>
      <c r="M80" s="80"/>
      <c r="N80" s="42"/>
      <c r="O80" s="82"/>
      <c r="P80" s="82"/>
      <c r="Q80" s="82"/>
    </row>
    <row r="81" spans="1:17" hidden="1" x14ac:dyDescent="0.35">
      <c r="A81" s="41"/>
      <c r="B81" s="42"/>
      <c r="C81" s="11"/>
      <c r="D81" s="11"/>
      <c r="E81" s="3"/>
      <c r="F81" s="18"/>
      <c r="G81" s="9"/>
      <c r="H81" s="10"/>
      <c r="I81" s="10"/>
      <c r="J81" s="76"/>
      <c r="K81" s="2" t="str">
        <f t="shared" si="1"/>
        <v>Failed!</v>
      </c>
      <c r="L81" s="53"/>
      <c r="M81" s="80"/>
      <c r="N81" s="42"/>
      <c r="O81" s="82"/>
      <c r="P81" s="82"/>
      <c r="Q81" s="82"/>
    </row>
    <row r="82" spans="1:17" hidden="1" x14ac:dyDescent="0.35">
      <c r="A82" s="41"/>
      <c r="B82" s="42"/>
      <c r="C82" s="11"/>
      <c r="D82" s="11"/>
      <c r="E82" s="3"/>
      <c r="F82" s="18"/>
      <c r="G82" s="9"/>
      <c r="H82" s="10"/>
      <c r="I82" s="10"/>
      <c r="J82" s="76"/>
      <c r="K82" s="2" t="str">
        <f t="shared" si="1"/>
        <v>Failed!</v>
      </c>
      <c r="L82" s="53"/>
      <c r="M82" s="80"/>
      <c r="N82" s="42"/>
      <c r="O82" s="82"/>
      <c r="P82" s="82"/>
      <c r="Q82" s="82"/>
    </row>
    <row r="83" spans="1:17" hidden="1" x14ac:dyDescent="0.35">
      <c r="A83" s="41"/>
      <c r="B83" s="42"/>
      <c r="C83" s="11"/>
      <c r="D83" s="11"/>
      <c r="E83" s="3"/>
      <c r="F83" s="18"/>
      <c r="G83" s="9"/>
      <c r="H83" s="10"/>
      <c r="I83" s="10"/>
      <c r="J83" s="76"/>
      <c r="K83" s="2" t="str">
        <f t="shared" si="1"/>
        <v>Failed!</v>
      </c>
      <c r="L83" s="53"/>
      <c r="M83" s="80"/>
      <c r="N83" s="42"/>
      <c r="O83" s="82"/>
      <c r="P83" s="82"/>
      <c r="Q83" s="82"/>
    </row>
    <row r="84" spans="1:17" hidden="1" x14ac:dyDescent="0.35">
      <c r="A84" s="41"/>
      <c r="B84" s="42"/>
      <c r="C84" s="11"/>
      <c r="D84" s="11"/>
      <c r="E84" s="3"/>
      <c r="F84" s="18"/>
      <c r="G84" s="9"/>
      <c r="H84" s="10"/>
      <c r="I84" s="10"/>
      <c r="J84" s="76"/>
      <c r="K84" s="2" t="str">
        <f t="shared" si="1"/>
        <v>Failed!</v>
      </c>
      <c r="L84" s="53"/>
      <c r="M84" s="80"/>
      <c r="N84" s="42"/>
      <c r="O84" s="82"/>
      <c r="P84" s="82"/>
      <c r="Q84" s="82"/>
    </row>
    <row r="85" spans="1:17" hidden="1" x14ac:dyDescent="0.35">
      <c r="A85" s="41"/>
      <c r="B85" s="42"/>
      <c r="C85" s="11"/>
      <c r="D85" s="11"/>
      <c r="E85" s="3"/>
      <c r="F85" s="18"/>
      <c r="G85" s="9"/>
      <c r="H85" s="10"/>
      <c r="I85" s="10"/>
      <c r="J85" s="76"/>
      <c r="K85" s="2" t="str">
        <f t="shared" si="1"/>
        <v>Failed!</v>
      </c>
      <c r="L85" s="53"/>
      <c r="M85" s="80"/>
      <c r="N85" s="42"/>
      <c r="O85" s="82"/>
      <c r="P85" s="82"/>
      <c r="Q85" s="82"/>
    </row>
    <row r="86" spans="1:17" hidden="1" x14ac:dyDescent="0.35">
      <c r="A86" s="41"/>
      <c r="B86" s="42"/>
      <c r="C86" s="11"/>
      <c r="D86" s="11"/>
      <c r="E86" s="3"/>
      <c r="F86" s="18"/>
      <c r="G86" s="9"/>
      <c r="H86" s="10"/>
      <c r="I86" s="10"/>
      <c r="J86" s="76"/>
      <c r="K86" s="2" t="str">
        <f t="shared" si="1"/>
        <v>Failed!</v>
      </c>
      <c r="L86" s="53"/>
      <c r="M86" s="80"/>
      <c r="N86" s="42"/>
      <c r="O86" s="82"/>
      <c r="P86" s="82"/>
      <c r="Q86" s="82"/>
    </row>
    <row r="87" spans="1:17" hidden="1" x14ac:dyDescent="0.35">
      <c r="A87" s="41"/>
      <c r="B87" s="42"/>
      <c r="C87" s="11"/>
      <c r="D87" s="11"/>
      <c r="E87" s="3"/>
      <c r="F87" s="18"/>
      <c r="G87" s="9"/>
      <c r="H87" s="10"/>
      <c r="I87" s="10"/>
      <c r="J87" s="76"/>
      <c r="K87" s="2" t="str">
        <f t="shared" si="1"/>
        <v>Failed!</v>
      </c>
      <c r="L87" s="53"/>
      <c r="M87" s="80"/>
      <c r="N87" s="42"/>
      <c r="O87" s="82"/>
      <c r="P87" s="82"/>
      <c r="Q87" s="82"/>
    </row>
    <row r="88" spans="1:17" hidden="1" x14ac:dyDescent="0.35">
      <c r="A88" s="41"/>
      <c r="B88" s="42"/>
      <c r="C88" s="11"/>
      <c r="D88" s="11"/>
      <c r="E88" s="3"/>
      <c r="F88" s="18"/>
      <c r="G88" s="9"/>
      <c r="H88" s="10"/>
      <c r="I88" s="10"/>
      <c r="J88" s="76"/>
      <c r="K88" s="2" t="str">
        <f t="shared" si="1"/>
        <v>Failed!</v>
      </c>
      <c r="L88" s="53"/>
      <c r="M88" s="80"/>
      <c r="N88" s="42"/>
      <c r="O88" s="82"/>
      <c r="P88" s="82"/>
      <c r="Q88" s="82"/>
    </row>
    <row r="89" spans="1:17" x14ac:dyDescent="0.35">
      <c r="M89" s="4"/>
    </row>
    <row r="90" spans="1:17" x14ac:dyDescent="0.35">
      <c r="F90" s="4">
        <f>COUNTA(F10:F88)</f>
        <v>1</v>
      </c>
      <c r="G90" s="2" t="s">
        <v>14</v>
      </c>
      <c r="H90" s="40">
        <f>MAX(H10:H88)</f>
        <v>58.5</v>
      </c>
      <c r="I90" s="40">
        <f>MAX(I10:I88)</f>
        <v>55.5</v>
      </c>
      <c r="J90" s="40">
        <f>MAX(L10:L88)</f>
        <v>57.62</v>
      </c>
      <c r="M90" s="4"/>
    </row>
    <row r="91" spans="1:17" x14ac:dyDescent="0.35">
      <c r="G91" s="2" t="s">
        <v>12</v>
      </c>
      <c r="H91" s="40">
        <f>AVERAGE(H10:H88)</f>
        <v>58.5</v>
      </c>
      <c r="I91" s="40">
        <f>AVERAGE(I10:I88)</f>
        <v>55.5</v>
      </c>
      <c r="J91" s="40">
        <f>AVERAGE(L10:L88)</f>
        <v>57.62</v>
      </c>
      <c r="M91" s="4"/>
    </row>
    <row r="92" spans="1:17" x14ac:dyDescent="0.35">
      <c r="G92" s="2" t="s">
        <v>15</v>
      </c>
      <c r="H92" s="40">
        <f>MIN(H10:H88)</f>
        <v>58.5</v>
      </c>
      <c r="I92" s="40">
        <f>MIN(I10:I88)</f>
        <v>55.5</v>
      </c>
      <c r="J92" s="40">
        <f>MIN(L10:L88)</f>
        <v>57.62</v>
      </c>
      <c r="M92" s="4"/>
    </row>
    <row r="93" spans="1:17" x14ac:dyDescent="0.35">
      <c r="G93" s="2" t="s">
        <v>13</v>
      </c>
      <c r="H93" s="40" t="e">
        <f>STDEV(H10:H88)</f>
        <v>#DIV/0!</v>
      </c>
      <c r="I93" s="40" t="e">
        <f>STDEV(I10:I88)</f>
        <v>#DIV/0!</v>
      </c>
      <c r="J93" s="40" t="e">
        <f>STDEV(L10:L88)</f>
        <v>#DIV/0!</v>
      </c>
      <c r="M93" s="4"/>
    </row>
    <row r="94" spans="1:17" x14ac:dyDescent="0.35">
      <c r="G94" s="2" t="str">
        <f>"Failed count ( &lt; " &amp; K6 &amp; " )"</f>
        <v>Failed count ( &lt; 40 )</v>
      </c>
      <c r="H94" s="50">
        <f>COUNTIF(H10:H88, "&lt;40")</f>
        <v>0</v>
      </c>
      <c r="I94" s="50">
        <f>COUNTIF(I10:I88, "&lt;40")</f>
        <v>0</v>
      </c>
      <c r="J94" s="50">
        <f>COUNTIF(L10:L88, "&lt;40")</f>
        <v>0</v>
      </c>
      <c r="M94" s="4"/>
    </row>
    <row r="95" spans="1:17" x14ac:dyDescent="0.35">
      <c r="G95" s="2" t="s">
        <v>16</v>
      </c>
      <c r="H95" s="49">
        <f>1-H94/$F90</f>
        <v>1</v>
      </c>
      <c r="I95" s="49">
        <f>1-I94/$F90</f>
        <v>1</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76" priority="1" operator="lessThan">
      <formula>$K$6</formula>
    </cfRule>
  </conditionalFormatting>
  <conditionalFormatting sqref="F10:I88">
    <cfRule type="expression" dxfId="75" priority="2" stopIfTrue="1">
      <formula>F10=A10</formula>
    </cfRule>
    <cfRule type="expression" dxfId="74" priority="3" stopIfTrue="1">
      <formula>F10&lt;&gt;A10</formula>
    </cfRule>
  </conditionalFormatting>
  <conditionalFormatting sqref="M10:Q10">
    <cfRule type="expression" dxfId="73" priority="4" stopIfTrue="1">
      <formula>M10=F10</formula>
    </cfRule>
    <cfRule type="expression" dxfId="7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68610"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68611"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09"/>
  <sheetViews>
    <sheetView zoomScaleNormal="100" workbookViewId="0">
      <pane xSplit="1" ySplit="9" topLeftCell="J10" activePane="bottomRight" state="frozen"/>
      <selection activeCell="E16" sqref="E16"/>
      <selection pane="topRight" activeCell="E16" sqref="E16"/>
      <selection pane="bottomLeft" activeCell="E16" sqref="E16"/>
      <selection pane="bottomRight" activeCell="N10" sqref="N10"/>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5</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78</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79</v>
      </c>
      <c r="C5" s="14"/>
      <c r="D5" s="16"/>
      <c r="F5" s="59" t="s">
        <v>38</v>
      </c>
      <c r="L5" s="52"/>
      <c r="M5" s="47" t="s">
        <v>49</v>
      </c>
    </row>
    <row r="6" spans="1:18" x14ac:dyDescent="0.35">
      <c r="A6" s="20" t="s">
        <v>37</v>
      </c>
      <c r="B6" s="13" t="s">
        <v>68</v>
      </c>
      <c r="C6" s="14"/>
      <c r="D6" s="16"/>
      <c r="F6" s="59" t="s">
        <v>54</v>
      </c>
      <c r="J6" s="70">
        <v>35</v>
      </c>
      <c r="K6" s="70">
        <v>40</v>
      </c>
      <c r="L6" s="52"/>
      <c r="N6" s="51" t="str">
        <f>"int122com - bcscu.pdf"</f>
        <v>int122com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10878369</v>
      </c>
      <c r="B10" s="42" t="s">
        <v>72</v>
      </c>
      <c r="C10" s="11">
        <v>87.5</v>
      </c>
      <c r="D10" s="11" t="s">
        <v>69</v>
      </c>
      <c r="E10" s="3"/>
      <c r="F10" s="18">
        <v>10878369</v>
      </c>
      <c r="G10" s="9" t="s">
        <v>246</v>
      </c>
      <c r="H10" s="10">
        <v>87.5</v>
      </c>
      <c r="I10" s="10" t="s">
        <v>69</v>
      </c>
      <c r="J10" s="76">
        <v>87.5</v>
      </c>
      <c r="K10" s="2" t="s">
        <v>398</v>
      </c>
      <c r="L10" s="53">
        <v>87.5</v>
      </c>
      <c r="M10" s="80">
        <v>10878369</v>
      </c>
      <c r="N10" s="42" t="s">
        <v>400</v>
      </c>
      <c r="O10" s="82">
        <v>87.5</v>
      </c>
      <c r="P10" s="82" t="s">
        <v>69</v>
      </c>
      <c r="Q10" s="82">
        <v>87.5</v>
      </c>
      <c r="R10" s="84">
        <f>ROUND(Q10 - ABS(J10), 2)</f>
        <v>0</v>
      </c>
    </row>
    <row r="11" spans="1:18" x14ac:dyDescent="0.35">
      <c r="A11" s="41">
        <v>10878358</v>
      </c>
      <c r="B11" s="43" t="s">
        <v>73</v>
      </c>
      <c r="C11" s="11">
        <v>61.76</v>
      </c>
      <c r="D11" s="11" t="s">
        <v>69</v>
      </c>
      <c r="E11" s="3"/>
      <c r="F11" s="18">
        <v>10878358</v>
      </c>
      <c r="G11" s="9" t="s">
        <v>247</v>
      </c>
      <c r="H11" s="10">
        <v>61.76</v>
      </c>
      <c r="I11" s="10" t="s">
        <v>69</v>
      </c>
      <c r="J11" s="76">
        <v>61.76</v>
      </c>
      <c r="K11" s="2" t="s">
        <v>398</v>
      </c>
      <c r="L11" s="53">
        <v>61.76</v>
      </c>
      <c r="M11" s="80">
        <v>10878358</v>
      </c>
      <c r="N11" s="42" t="s">
        <v>401</v>
      </c>
      <c r="O11" s="82">
        <v>61.76</v>
      </c>
      <c r="P11" s="82" t="s">
        <v>69</v>
      </c>
      <c r="Q11" s="82">
        <v>61.76</v>
      </c>
      <c r="R11" s="84">
        <f>ROUND(Q11 - ABS(J11), 2)</f>
        <v>0</v>
      </c>
    </row>
    <row r="12" spans="1:18" x14ac:dyDescent="0.35">
      <c r="A12" s="41">
        <v>10956427</v>
      </c>
      <c r="B12" s="42" t="s">
        <v>74</v>
      </c>
      <c r="C12" s="11">
        <v>61.46</v>
      </c>
      <c r="D12" s="11" t="s">
        <v>69</v>
      </c>
      <c r="E12" s="3"/>
      <c r="F12" s="18">
        <v>10956427</v>
      </c>
      <c r="G12" s="9" t="s">
        <v>248</v>
      </c>
      <c r="H12" s="10">
        <v>61.46</v>
      </c>
      <c r="I12" s="10" t="s">
        <v>69</v>
      </c>
      <c r="J12" s="76">
        <v>61.46</v>
      </c>
      <c r="K12" s="2" t="s">
        <v>398</v>
      </c>
      <c r="L12" s="53">
        <v>61.46</v>
      </c>
      <c r="M12" s="80">
        <v>10956427</v>
      </c>
      <c r="N12" s="42" t="s">
        <v>402</v>
      </c>
      <c r="O12" s="82">
        <v>61.46</v>
      </c>
      <c r="P12" s="82" t="s">
        <v>69</v>
      </c>
      <c r="Q12" s="82">
        <v>61.46</v>
      </c>
      <c r="R12" s="84">
        <f>ROUND(Q12 - ABS(J12), 2)</f>
        <v>0</v>
      </c>
    </row>
    <row r="13" spans="1:18" x14ac:dyDescent="0.35">
      <c r="A13" s="41">
        <v>10447796</v>
      </c>
      <c r="B13" s="42" t="s">
        <v>80</v>
      </c>
      <c r="C13" s="11">
        <v>75.3</v>
      </c>
      <c r="D13" s="11" t="s">
        <v>69</v>
      </c>
      <c r="E13" s="3"/>
      <c r="F13" s="18">
        <v>10447796</v>
      </c>
      <c r="G13" s="9" t="s">
        <v>250</v>
      </c>
      <c r="H13" s="10">
        <v>75.3</v>
      </c>
      <c r="I13" s="10" t="s">
        <v>69</v>
      </c>
      <c r="J13" s="76">
        <v>75.3</v>
      </c>
      <c r="K13" s="2" t="s">
        <v>398</v>
      </c>
      <c r="L13" s="53">
        <v>75.3</v>
      </c>
      <c r="M13" s="80">
        <v>10447796</v>
      </c>
      <c r="N13" s="42" t="s">
        <v>404</v>
      </c>
      <c r="O13" s="82">
        <v>75.3</v>
      </c>
      <c r="P13" s="82" t="s">
        <v>69</v>
      </c>
      <c r="Q13" s="82">
        <v>75.3</v>
      </c>
      <c r="R13" s="84">
        <f>ROUND(Q13 - ABS(J13), 2)</f>
        <v>0</v>
      </c>
    </row>
    <row r="14" spans="1:18" x14ac:dyDescent="0.35">
      <c r="A14" s="41">
        <v>11323976</v>
      </c>
      <c r="B14" s="42" t="s">
        <v>75</v>
      </c>
      <c r="C14" s="11">
        <v>57.6</v>
      </c>
      <c r="D14" s="11" t="s">
        <v>69</v>
      </c>
      <c r="E14" s="3"/>
      <c r="F14" s="18">
        <v>11323976</v>
      </c>
      <c r="G14" s="9" t="s">
        <v>249</v>
      </c>
      <c r="H14" s="10">
        <v>57.6</v>
      </c>
      <c r="I14" s="10" t="s">
        <v>69</v>
      </c>
      <c r="J14" s="76">
        <v>57.6</v>
      </c>
      <c r="K14" s="2" t="s">
        <v>398</v>
      </c>
      <c r="L14" s="53">
        <v>57.6</v>
      </c>
      <c r="M14" s="80">
        <v>11323976</v>
      </c>
      <c r="N14" s="42" t="s">
        <v>399</v>
      </c>
      <c r="O14" s="82">
        <v>57.6</v>
      </c>
      <c r="P14" s="82" t="s">
        <v>69</v>
      </c>
      <c r="Q14" s="82">
        <v>57.6</v>
      </c>
      <c r="R14" s="84">
        <f>ROUND(Q14 - ABS(J14), 2)</f>
        <v>0</v>
      </c>
    </row>
    <row r="15" spans="1:18" hidden="1" x14ac:dyDescent="0.35">
      <c r="A15" s="41"/>
      <c r="B15" s="42"/>
      <c r="C15" s="11"/>
      <c r="D15" s="11"/>
      <c r="E15" s="3"/>
      <c r="F15" s="18"/>
      <c r="G15" s="9"/>
      <c r="H15" s="10"/>
      <c r="I15" s="10"/>
      <c r="J15" s="76"/>
      <c r="K15" s="2" t="str">
        <f t="shared" ref="K15:K73" si="0">IF(I15="-", IF(J15&lt;$K$6, "Failed!", "pass"), IF(AND(H15&gt;=$J$6, I15&gt;=$J$6, J15&gt;=$K$6), "pass", "Failed!"))</f>
        <v>Failed!</v>
      </c>
      <c r="L15" s="53"/>
      <c r="M15" s="80"/>
      <c r="N15" s="42"/>
      <c r="O15" s="82"/>
      <c r="P15" s="82"/>
      <c r="Q15" s="82"/>
    </row>
    <row r="16" spans="1:18" hidden="1" x14ac:dyDescent="0.35">
      <c r="A16" s="41"/>
      <c r="B16" s="42"/>
      <c r="C16" s="11"/>
      <c r="D16" s="11"/>
      <c r="E16" s="3"/>
      <c r="F16" s="18"/>
      <c r="G16" s="9"/>
      <c r="H16" s="10"/>
      <c r="I16" s="10"/>
      <c r="J16" s="76"/>
      <c r="K16" s="2" t="str">
        <f t="shared" si="0"/>
        <v>Failed!</v>
      </c>
      <c r="L16" s="53"/>
      <c r="M16" s="80"/>
      <c r="N16" s="42"/>
      <c r="O16" s="82"/>
      <c r="P16" s="82"/>
      <c r="Q16" s="82"/>
    </row>
    <row r="17" spans="1:17" hidden="1" x14ac:dyDescent="0.35">
      <c r="A17" s="41"/>
      <c r="B17" s="42"/>
      <c r="C17" s="11"/>
      <c r="D17" s="11"/>
      <c r="E17" s="3"/>
      <c r="F17" s="18"/>
      <c r="G17" s="9"/>
      <c r="H17" s="10"/>
      <c r="I17" s="10"/>
      <c r="J17" s="76"/>
      <c r="K17" s="2" t="str">
        <f t="shared" si="0"/>
        <v>Failed!</v>
      </c>
      <c r="L17" s="53"/>
      <c r="M17" s="80"/>
      <c r="N17" s="42"/>
      <c r="O17" s="82"/>
      <c r="P17" s="82"/>
      <c r="Q17" s="82"/>
    </row>
    <row r="18" spans="1:17" hidden="1" x14ac:dyDescent="0.35">
      <c r="A18" s="41"/>
      <c r="B18" s="42"/>
      <c r="C18" s="11"/>
      <c r="D18" s="11"/>
      <c r="E18" s="3"/>
      <c r="F18" s="18"/>
      <c r="G18" s="9"/>
      <c r="H18" s="10"/>
      <c r="I18" s="10"/>
      <c r="J18" s="76"/>
      <c r="K18" s="2" t="str">
        <f t="shared" si="0"/>
        <v>Failed!</v>
      </c>
      <c r="L18" s="53"/>
      <c r="M18" s="80"/>
      <c r="N18" s="42"/>
      <c r="O18" s="82"/>
      <c r="P18" s="82"/>
      <c r="Q18" s="82"/>
    </row>
    <row r="19" spans="1:17" hidden="1" x14ac:dyDescent="0.35">
      <c r="A19" s="41"/>
      <c r="B19" s="42"/>
      <c r="C19" s="11"/>
      <c r="D19" s="11"/>
      <c r="E19" s="3"/>
      <c r="F19" s="18"/>
      <c r="G19" s="9"/>
      <c r="H19" s="10"/>
      <c r="I19" s="10"/>
      <c r="J19" s="76"/>
      <c r="K19" s="2" t="str">
        <f t="shared" si="0"/>
        <v>Failed!</v>
      </c>
      <c r="L19" s="53"/>
      <c r="M19" s="80"/>
      <c r="N19" s="42"/>
      <c r="O19" s="82"/>
      <c r="P19" s="82"/>
      <c r="Q19" s="82"/>
    </row>
    <row r="20" spans="1:17" hidden="1" x14ac:dyDescent="0.35">
      <c r="A20" s="41"/>
      <c r="B20" s="42"/>
      <c r="C20" s="11"/>
      <c r="D20" s="11"/>
      <c r="E20" s="3"/>
      <c r="F20" s="18"/>
      <c r="G20" s="9"/>
      <c r="H20" s="10"/>
      <c r="I20" s="10"/>
      <c r="J20" s="76"/>
      <c r="K20" s="2" t="str">
        <f t="shared" si="0"/>
        <v>Failed!</v>
      </c>
      <c r="L20" s="53"/>
      <c r="M20" s="80"/>
      <c r="N20" s="42"/>
      <c r="O20" s="82"/>
      <c r="P20" s="82"/>
      <c r="Q20" s="82"/>
    </row>
    <row r="21" spans="1:17" hidden="1" x14ac:dyDescent="0.35">
      <c r="A21" s="41"/>
      <c r="B21" s="42"/>
      <c r="C21" s="11"/>
      <c r="D21" s="11"/>
      <c r="E21" s="3"/>
      <c r="F21" s="18"/>
      <c r="G21" s="9"/>
      <c r="H21" s="10"/>
      <c r="I21" s="10"/>
      <c r="J21" s="76"/>
      <c r="K21" s="2" t="str">
        <f t="shared" si="0"/>
        <v>Failed!</v>
      </c>
      <c r="L21" s="53"/>
      <c r="M21" s="80"/>
      <c r="N21" s="42"/>
      <c r="O21" s="82"/>
      <c r="P21" s="82"/>
      <c r="Q21" s="82"/>
    </row>
    <row r="22" spans="1:17" hidden="1" x14ac:dyDescent="0.35">
      <c r="A22" s="41"/>
      <c r="B22" s="42"/>
      <c r="C22" s="11"/>
      <c r="D22" s="11"/>
      <c r="E22" s="3"/>
      <c r="F22" s="18"/>
      <c r="G22" s="9"/>
      <c r="H22" s="10"/>
      <c r="I22" s="10"/>
      <c r="J22" s="76"/>
      <c r="K22" s="2" t="str">
        <f t="shared" si="0"/>
        <v>Failed!</v>
      </c>
      <c r="L22" s="53"/>
      <c r="M22" s="80"/>
      <c r="N22" s="42"/>
      <c r="O22" s="82"/>
      <c r="P22" s="82"/>
      <c r="Q22" s="82"/>
    </row>
    <row r="23" spans="1:17" hidden="1" x14ac:dyDescent="0.35">
      <c r="A23" s="41"/>
      <c r="B23" s="42"/>
      <c r="C23" s="11"/>
      <c r="D23" s="11"/>
      <c r="E23" s="3"/>
      <c r="F23" s="18"/>
      <c r="G23" s="9"/>
      <c r="H23" s="10"/>
      <c r="I23" s="10"/>
      <c r="J23" s="76"/>
      <c r="K23" s="2" t="str">
        <f t="shared" si="0"/>
        <v>Failed!</v>
      </c>
      <c r="L23" s="53"/>
      <c r="M23" s="80"/>
      <c r="N23" s="42"/>
      <c r="O23" s="82"/>
      <c r="P23" s="82"/>
      <c r="Q23" s="82"/>
    </row>
    <row r="24" spans="1:17" hidden="1" x14ac:dyDescent="0.35">
      <c r="A24" s="41"/>
      <c r="B24" s="42"/>
      <c r="C24" s="11"/>
      <c r="D24" s="11"/>
      <c r="E24" s="3"/>
      <c r="F24" s="18"/>
      <c r="G24" s="9"/>
      <c r="H24" s="10"/>
      <c r="I24" s="10"/>
      <c r="J24" s="76"/>
      <c r="K24" s="2" t="str">
        <f t="shared" si="0"/>
        <v>Failed!</v>
      </c>
      <c r="L24" s="53"/>
      <c r="M24" s="80"/>
      <c r="N24" s="42"/>
      <c r="O24" s="82"/>
      <c r="P24" s="82"/>
      <c r="Q24" s="82"/>
    </row>
    <row r="25" spans="1:17" hidden="1" x14ac:dyDescent="0.35">
      <c r="A25" s="41"/>
      <c r="B25" s="42"/>
      <c r="C25" s="11"/>
      <c r="D25" s="11"/>
      <c r="E25" s="3"/>
      <c r="F25" s="18"/>
      <c r="G25" s="9"/>
      <c r="H25" s="10"/>
      <c r="I25" s="10"/>
      <c r="J25" s="76"/>
      <c r="K25" s="2" t="str">
        <f t="shared" si="0"/>
        <v>Failed!</v>
      </c>
      <c r="L25" s="53"/>
      <c r="M25" s="80"/>
      <c r="N25" s="42"/>
      <c r="O25" s="82"/>
      <c r="P25" s="82"/>
      <c r="Q25" s="82"/>
    </row>
    <row r="26" spans="1:17" hidden="1" x14ac:dyDescent="0.35">
      <c r="A26" s="41"/>
      <c r="B26" s="42"/>
      <c r="C26" s="11"/>
      <c r="D26" s="11"/>
      <c r="E26" s="3"/>
      <c r="F26" s="18"/>
      <c r="G26" s="9"/>
      <c r="H26" s="10"/>
      <c r="I26" s="10"/>
      <c r="J26" s="76"/>
      <c r="K26" s="2" t="str">
        <f t="shared" si="0"/>
        <v>Failed!</v>
      </c>
      <c r="L26" s="53"/>
      <c r="M26" s="80"/>
      <c r="N26" s="42"/>
      <c r="O26" s="82"/>
      <c r="P26" s="82"/>
      <c r="Q26" s="82"/>
    </row>
    <row r="27" spans="1:17" hidden="1" x14ac:dyDescent="0.35">
      <c r="A27" s="41"/>
      <c r="B27" s="42"/>
      <c r="C27" s="11"/>
      <c r="D27" s="11"/>
      <c r="E27" s="3"/>
      <c r="F27" s="18"/>
      <c r="G27" s="9"/>
      <c r="H27" s="10"/>
      <c r="I27" s="10"/>
      <c r="J27" s="76"/>
      <c r="K27" s="2" t="str">
        <f t="shared" si="0"/>
        <v>Failed!</v>
      </c>
      <c r="L27" s="53"/>
      <c r="M27" s="80"/>
      <c r="N27" s="42"/>
      <c r="O27" s="82"/>
      <c r="P27" s="82"/>
      <c r="Q27" s="82"/>
    </row>
    <row r="28" spans="1:17" hidden="1" x14ac:dyDescent="0.35">
      <c r="A28" s="41"/>
      <c r="B28" s="42"/>
      <c r="C28" s="11"/>
      <c r="D28" s="11"/>
      <c r="E28" s="3"/>
      <c r="F28" s="18"/>
      <c r="G28" s="9"/>
      <c r="H28" s="10"/>
      <c r="I28" s="10"/>
      <c r="J28" s="76"/>
      <c r="K28" s="2" t="str">
        <f t="shared" si="0"/>
        <v>Failed!</v>
      </c>
      <c r="L28" s="53"/>
      <c r="M28" s="80"/>
      <c r="N28" s="42"/>
      <c r="O28" s="82"/>
      <c r="P28" s="82"/>
      <c r="Q28" s="82"/>
    </row>
    <row r="29" spans="1:17" hidden="1" x14ac:dyDescent="0.35">
      <c r="A29" s="41"/>
      <c r="B29" s="42"/>
      <c r="C29" s="11"/>
      <c r="D29" s="11"/>
      <c r="E29" s="3"/>
      <c r="F29" s="18"/>
      <c r="G29" s="9"/>
      <c r="H29" s="10"/>
      <c r="I29" s="10"/>
      <c r="J29" s="76"/>
      <c r="K29" s="2" t="str">
        <f t="shared" si="0"/>
        <v>Failed!</v>
      </c>
      <c r="L29" s="53"/>
      <c r="M29" s="80"/>
      <c r="N29" s="42"/>
      <c r="O29" s="82"/>
      <c r="P29" s="82"/>
      <c r="Q29" s="82"/>
    </row>
    <row r="30" spans="1:17" hidden="1" x14ac:dyDescent="0.35">
      <c r="A30" s="41"/>
      <c r="B30" s="42"/>
      <c r="C30" s="11"/>
      <c r="D30" s="11"/>
      <c r="E30" s="3"/>
      <c r="F30" s="18"/>
      <c r="G30" s="9"/>
      <c r="H30" s="10"/>
      <c r="I30" s="10"/>
      <c r="J30" s="76"/>
      <c r="K30" s="2" t="str">
        <f t="shared" si="0"/>
        <v>Failed!</v>
      </c>
      <c r="L30" s="53"/>
      <c r="M30" s="80"/>
      <c r="N30" s="42"/>
      <c r="O30" s="82"/>
      <c r="P30" s="82"/>
      <c r="Q30" s="82"/>
    </row>
    <row r="31" spans="1:17" hidden="1" x14ac:dyDescent="0.35">
      <c r="A31" s="41"/>
      <c r="B31" s="42"/>
      <c r="C31" s="11"/>
      <c r="D31" s="11"/>
      <c r="E31" s="3"/>
      <c r="F31" s="18"/>
      <c r="G31" s="9"/>
      <c r="H31" s="10"/>
      <c r="I31" s="10"/>
      <c r="J31" s="76"/>
      <c r="K31" s="2" t="str">
        <f t="shared" si="0"/>
        <v>Failed!</v>
      </c>
      <c r="L31" s="53"/>
      <c r="M31" s="80"/>
      <c r="N31" s="42"/>
      <c r="O31" s="82"/>
      <c r="P31" s="82"/>
      <c r="Q31" s="82"/>
    </row>
    <row r="32" spans="1:17" hidden="1" x14ac:dyDescent="0.35">
      <c r="A32" s="41"/>
      <c r="B32" s="42"/>
      <c r="C32" s="11"/>
      <c r="D32" s="11"/>
      <c r="E32" s="3"/>
      <c r="F32" s="18"/>
      <c r="G32" s="9"/>
      <c r="H32" s="10"/>
      <c r="I32" s="10"/>
      <c r="J32" s="76"/>
      <c r="K32" s="2" t="str">
        <f t="shared" si="0"/>
        <v>Failed!</v>
      </c>
      <c r="L32" s="53"/>
      <c r="M32" s="80"/>
      <c r="N32" s="42"/>
      <c r="O32" s="82"/>
      <c r="P32" s="82"/>
      <c r="Q32" s="82"/>
    </row>
    <row r="33" spans="1:17" hidden="1" x14ac:dyDescent="0.35">
      <c r="A33" s="41"/>
      <c r="B33" s="42"/>
      <c r="C33" s="11"/>
      <c r="D33" s="11"/>
      <c r="E33" s="3"/>
      <c r="F33" s="18"/>
      <c r="G33" s="9"/>
      <c r="H33" s="10"/>
      <c r="I33" s="10"/>
      <c r="J33" s="76"/>
      <c r="K33" s="2" t="str">
        <f t="shared" si="0"/>
        <v>Failed!</v>
      </c>
      <c r="L33" s="53"/>
      <c r="M33" s="80"/>
      <c r="N33" s="42"/>
      <c r="O33" s="82"/>
      <c r="P33" s="82"/>
      <c r="Q33" s="82"/>
    </row>
    <row r="34" spans="1:17" hidden="1" x14ac:dyDescent="0.35">
      <c r="A34" s="41"/>
      <c r="B34" s="42"/>
      <c r="C34" s="11"/>
      <c r="D34" s="11"/>
      <c r="E34" s="3"/>
      <c r="F34" s="18"/>
      <c r="G34" s="9"/>
      <c r="H34" s="10"/>
      <c r="I34" s="10"/>
      <c r="J34" s="76"/>
      <c r="K34" s="2" t="str">
        <f t="shared" si="0"/>
        <v>Failed!</v>
      </c>
      <c r="L34" s="53"/>
      <c r="M34" s="80"/>
      <c r="N34" s="42"/>
      <c r="O34" s="82"/>
      <c r="P34" s="82"/>
      <c r="Q34" s="82"/>
    </row>
    <row r="35" spans="1:17" hidden="1" x14ac:dyDescent="0.35">
      <c r="A35" s="41"/>
      <c r="B35" s="42"/>
      <c r="C35" s="11"/>
      <c r="D35" s="11"/>
      <c r="E35" s="3"/>
      <c r="F35" s="18"/>
      <c r="G35" s="9"/>
      <c r="H35" s="10"/>
      <c r="I35" s="10"/>
      <c r="J35" s="76"/>
      <c r="K35" s="2" t="str">
        <f t="shared" si="0"/>
        <v>Failed!</v>
      </c>
      <c r="L35" s="53"/>
      <c r="M35" s="80"/>
      <c r="N35" s="42"/>
      <c r="O35" s="82"/>
      <c r="P35" s="82"/>
      <c r="Q35" s="82"/>
    </row>
    <row r="36" spans="1:17" hidden="1" x14ac:dyDescent="0.35">
      <c r="A36" s="41"/>
      <c r="B36" s="42"/>
      <c r="C36" s="11"/>
      <c r="D36" s="11"/>
      <c r="E36" s="3"/>
      <c r="F36" s="18"/>
      <c r="G36" s="9"/>
      <c r="H36" s="10"/>
      <c r="I36" s="10"/>
      <c r="J36" s="76"/>
      <c r="K36" s="2" t="str">
        <f t="shared" si="0"/>
        <v>Failed!</v>
      </c>
      <c r="L36" s="53"/>
      <c r="M36" s="80"/>
      <c r="N36" s="42"/>
      <c r="O36" s="82"/>
      <c r="P36" s="82"/>
      <c r="Q36" s="82"/>
    </row>
    <row r="37" spans="1:17" hidden="1" x14ac:dyDescent="0.35">
      <c r="A37" s="41"/>
      <c r="B37" s="42"/>
      <c r="C37" s="11"/>
      <c r="D37" s="11"/>
      <c r="E37" s="3"/>
      <c r="F37" s="18"/>
      <c r="G37" s="9"/>
      <c r="H37" s="10"/>
      <c r="I37" s="10"/>
      <c r="J37" s="76"/>
      <c r="K37" s="2" t="str">
        <f t="shared" si="0"/>
        <v>Failed!</v>
      </c>
      <c r="L37" s="53"/>
      <c r="M37" s="80"/>
      <c r="N37" s="42"/>
      <c r="O37" s="82"/>
      <c r="P37" s="82"/>
      <c r="Q37" s="82"/>
    </row>
    <row r="38" spans="1:17" hidden="1" x14ac:dyDescent="0.35">
      <c r="A38" s="41"/>
      <c r="B38" s="42"/>
      <c r="C38" s="11"/>
      <c r="D38" s="11"/>
      <c r="E38" s="3"/>
      <c r="F38" s="18"/>
      <c r="G38" s="9"/>
      <c r="H38" s="10"/>
      <c r="I38" s="10"/>
      <c r="J38" s="76"/>
      <c r="K38" s="2" t="str">
        <f t="shared" si="0"/>
        <v>Failed!</v>
      </c>
      <c r="L38" s="53"/>
      <c r="M38" s="80"/>
      <c r="N38" s="42"/>
      <c r="O38" s="82"/>
      <c r="P38" s="82"/>
      <c r="Q38" s="82"/>
    </row>
    <row r="39" spans="1:17" hidden="1" x14ac:dyDescent="0.35">
      <c r="A39" s="41"/>
      <c r="B39" s="42"/>
      <c r="C39" s="11"/>
      <c r="D39" s="11"/>
      <c r="E39" s="3"/>
      <c r="F39" s="18"/>
      <c r="G39" s="9"/>
      <c r="H39" s="10"/>
      <c r="I39" s="10"/>
      <c r="J39" s="76"/>
      <c r="K39" s="2" t="str">
        <f t="shared" si="0"/>
        <v>Failed!</v>
      </c>
      <c r="L39" s="53"/>
      <c r="M39" s="80"/>
      <c r="N39" s="42"/>
      <c r="O39" s="82"/>
      <c r="P39" s="82"/>
      <c r="Q39" s="82"/>
    </row>
    <row r="40" spans="1:17" hidden="1" x14ac:dyDescent="0.35">
      <c r="A40" s="41"/>
      <c r="B40" s="42"/>
      <c r="C40" s="11"/>
      <c r="D40" s="11"/>
      <c r="E40" s="3"/>
      <c r="F40" s="18"/>
      <c r="G40" s="9"/>
      <c r="H40" s="10"/>
      <c r="I40" s="10"/>
      <c r="J40" s="76"/>
      <c r="K40" s="2" t="str">
        <f t="shared" si="0"/>
        <v>Failed!</v>
      </c>
      <c r="L40" s="53"/>
      <c r="M40" s="80"/>
      <c r="N40" s="42"/>
      <c r="O40" s="82"/>
      <c r="P40" s="82"/>
      <c r="Q40" s="82"/>
    </row>
    <row r="41" spans="1:17" hidden="1" x14ac:dyDescent="0.35">
      <c r="A41" s="41"/>
      <c r="B41" s="42"/>
      <c r="C41" s="11"/>
      <c r="D41" s="11"/>
      <c r="E41" s="3"/>
      <c r="F41" s="18"/>
      <c r="G41" s="9"/>
      <c r="H41" s="10"/>
      <c r="I41" s="10"/>
      <c r="J41" s="76"/>
      <c r="K41" s="2" t="str">
        <f t="shared" si="0"/>
        <v>Failed!</v>
      </c>
      <c r="L41" s="53"/>
      <c r="M41" s="80"/>
      <c r="N41" s="42"/>
      <c r="O41" s="82"/>
      <c r="P41" s="82"/>
      <c r="Q41" s="82"/>
    </row>
    <row r="42" spans="1:17" hidden="1" x14ac:dyDescent="0.35">
      <c r="A42" s="41"/>
      <c r="B42" s="42"/>
      <c r="C42" s="11"/>
      <c r="D42" s="11"/>
      <c r="E42" s="3"/>
      <c r="F42" s="18"/>
      <c r="G42" s="9"/>
      <c r="H42" s="10"/>
      <c r="I42" s="10"/>
      <c r="J42" s="76"/>
      <c r="K42" s="2" t="str">
        <f t="shared" si="0"/>
        <v>Failed!</v>
      </c>
      <c r="L42" s="53"/>
      <c r="M42" s="80"/>
      <c r="N42" s="42"/>
      <c r="O42" s="82"/>
      <c r="P42" s="82"/>
      <c r="Q42" s="82"/>
    </row>
    <row r="43" spans="1:17" hidden="1" x14ac:dyDescent="0.35">
      <c r="A43" s="41"/>
      <c r="B43" s="42"/>
      <c r="C43" s="11"/>
      <c r="D43" s="11"/>
      <c r="E43" s="3"/>
      <c r="F43" s="18"/>
      <c r="G43" s="9"/>
      <c r="H43" s="10"/>
      <c r="I43" s="10"/>
      <c r="J43" s="76"/>
      <c r="K43" s="2" t="str">
        <f t="shared" si="0"/>
        <v>Failed!</v>
      </c>
      <c r="L43" s="53"/>
      <c r="M43" s="80"/>
      <c r="N43" s="42"/>
      <c r="O43" s="82"/>
      <c r="P43" s="82"/>
      <c r="Q43" s="82"/>
    </row>
    <row r="44" spans="1:17" hidden="1" x14ac:dyDescent="0.35">
      <c r="A44" s="41"/>
      <c r="B44" s="42"/>
      <c r="C44" s="11"/>
      <c r="D44" s="11"/>
      <c r="E44" s="3"/>
      <c r="F44" s="18"/>
      <c r="G44" s="9"/>
      <c r="H44" s="10"/>
      <c r="I44" s="10"/>
      <c r="J44" s="76"/>
      <c r="K44" s="2" t="str">
        <f t="shared" si="0"/>
        <v>Failed!</v>
      </c>
      <c r="L44" s="53"/>
      <c r="M44" s="80"/>
      <c r="N44" s="42"/>
      <c r="O44" s="82"/>
      <c r="P44" s="82"/>
      <c r="Q44" s="82"/>
    </row>
    <row r="45" spans="1:17" hidden="1" x14ac:dyDescent="0.35">
      <c r="A45" s="41"/>
      <c r="B45" s="42"/>
      <c r="C45" s="11"/>
      <c r="D45" s="11"/>
      <c r="E45" s="3"/>
      <c r="F45" s="18"/>
      <c r="G45" s="9"/>
      <c r="H45" s="10"/>
      <c r="I45" s="10"/>
      <c r="J45" s="76"/>
      <c r="K45" s="2" t="str">
        <f t="shared" si="0"/>
        <v>Failed!</v>
      </c>
      <c r="L45" s="53"/>
      <c r="M45" s="80"/>
      <c r="N45" s="42"/>
      <c r="O45" s="82"/>
      <c r="P45" s="82"/>
      <c r="Q45" s="82"/>
    </row>
    <row r="46" spans="1:17" hidden="1" x14ac:dyDescent="0.35">
      <c r="A46" s="41"/>
      <c r="B46" s="42"/>
      <c r="C46" s="11"/>
      <c r="D46" s="11"/>
      <c r="E46" s="3"/>
      <c r="F46" s="18"/>
      <c r="G46" s="9"/>
      <c r="H46" s="10"/>
      <c r="I46" s="10"/>
      <c r="J46" s="76"/>
      <c r="K46" s="2" t="str">
        <f t="shared" si="0"/>
        <v>Failed!</v>
      </c>
      <c r="L46" s="53"/>
      <c r="M46" s="80"/>
      <c r="N46" s="42"/>
      <c r="O46" s="82"/>
      <c r="P46" s="82"/>
      <c r="Q46" s="82"/>
    </row>
    <row r="47" spans="1:17" hidden="1" x14ac:dyDescent="0.35">
      <c r="A47" s="41"/>
      <c r="B47" s="42"/>
      <c r="C47" s="11"/>
      <c r="D47" s="11"/>
      <c r="E47" s="3"/>
      <c r="F47" s="18"/>
      <c r="G47" s="9"/>
      <c r="H47" s="10"/>
      <c r="I47" s="10"/>
      <c r="J47" s="76"/>
      <c r="K47" s="2" t="str">
        <f t="shared" si="0"/>
        <v>Failed!</v>
      </c>
      <c r="L47" s="53"/>
      <c r="M47" s="80"/>
      <c r="N47" s="42"/>
      <c r="O47" s="82"/>
      <c r="P47" s="82"/>
      <c r="Q47" s="82"/>
    </row>
    <row r="48" spans="1:17" hidden="1" x14ac:dyDescent="0.35">
      <c r="A48" s="41"/>
      <c r="B48" s="42"/>
      <c r="C48" s="11"/>
      <c r="D48" s="11"/>
      <c r="E48" s="3"/>
      <c r="F48" s="18"/>
      <c r="G48" s="9"/>
      <c r="H48" s="10"/>
      <c r="I48" s="10"/>
      <c r="J48" s="76"/>
      <c r="K48" s="2" t="str">
        <f t="shared" si="0"/>
        <v>Failed!</v>
      </c>
      <c r="L48" s="53"/>
      <c r="M48" s="80"/>
      <c r="N48" s="42"/>
      <c r="O48" s="82"/>
      <c r="P48" s="82"/>
      <c r="Q48" s="82"/>
    </row>
    <row r="49" spans="1:17" hidden="1" x14ac:dyDescent="0.35">
      <c r="A49" s="41"/>
      <c r="B49" s="42"/>
      <c r="C49" s="11"/>
      <c r="D49" s="11"/>
      <c r="E49" s="3"/>
      <c r="F49" s="19"/>
      <c r="G49" s="1"/>
      <c r="H49" s="12"/>
      <c r="I49" s="12"/>
      <c r="J49" s="77"/>
      <c r="K49" s="2" t="str">
        <f t="shared" si="0"/>
        <v>Failed!</v>
      </c>
      <c r="L49" s="53"/>
      <c r="M49" s="80"/>
      <c r="N49" s="42"/>
      <c r="O49" s="82"/>
      <c r="P49" s="82"/>
      <c r="Q49" s="82"/>
    </row>
    <row r="50" spans="1:17" hidden="1" x14ac:dyDescent="0.35">
      <c r="A50" s="41"/>
      <c r="B50" s="42"/>
      <c r="C50" s="11"/>
      <c r="D50" s="11"/>
      <c r="E50" s="3"/>
      <c r="F50" s="19"/>
      <c r="G50" s="1"/>
      <c r="H50" s="12"/>
      <c r="I50" s="12"/>
      <c r="J50" s="77"/>
      <c r="K50" s="2" t="str">
        <f t="shared" si="0"/>
        <v>Failed!</v>
      </c>
      <c r="L50" s="53"/>
      <c r="M50" s="80"/>
      <c r="N50" s="42"/>
      <c r="O50" s="82"/>
      <c r="P50" s="82"/>
      <c r="Q50" s="82"/>
    </row>
    <row r="51" spans="1:17" hidden="1" x14ac:dyDescent="0.35">
      <c r="A51" s="41"/>
      <c r="B51" s="42"/>
      <c r="C51" s="11"/>
      <c r="D51" s="11"/>
      <c r="E51" s="3"/>
      <c r="F51" s="19"/>
      <c r="G51" s="1"/>
      <c r="H51" s="12"/>
      <c r="I51" s="12"/>
      <c r="J51" s="77"/>
      <c r="K51" s="2" t="str">
        <f t="shared" si="0"/>
        <v>Failed!</v>
      </c>
      <c r="L51" s="53"/>
      <c r="M51" s="80"/>
      <c r="N51" s="42"/>
      <c r="O51" s="82"/>
      <c r="P51" s="82"/>
      <c r="Q51" s="82"/>
    </row>
    <row r="52" spans="1:17" hidden="1" x14ac:dyDescent="0.35">
      <c r="A52" s="41"/>
      <c r="B52" s="42"/>
      <c r="C52" s="11"/>
      <c r="D52" s="11"/>
      <c r="E52" s="3"/>
      <c r="F52" s="19"/>
      <c r="G52" s="1"/>
      <c r="H52" s="12"/>
      <c r="I52" s="12"/>
      <c r="J52" s="77"/>
      <c r="K52" s="2" t="str">
        <f t="shared" si="0"/>
        <v>Failed!</v>
      </c>
      <c r="L52" s="53"/>
      <c r="M52" s="80"/>
      <c r="N52" s="42"/>
      <c r="O52" s="82"/>
      <c r="P52" s="82"/>
      <c r="Q52" s="82"/>
    </row>
    <row r="53" spans="1:17" hidden="1" x14ac:dyDescent="0.35">
      <c r="A53" s="41"/>
      <c r="B53" s="42"/>
      <c r="C53" s="11"/>
      <c r="D53" s="11"/>
      <c r="E53" s="3"/>
      <c r="F53" s="19"/>
      <c r="G53" s="1"/>
      <c r="H53" s="12"/>
      <c r="I53" s="12"/>
      <c r="J53" s="77"/>
      <c r="K53" s="2" t="str">
        <f t="shared" si="0"/>
        <v>Failed!</v>
      </c>
      <c r="L53" s="53"/>
      <c r="M53" s="80"/>
      <c r="N53" s="42"/>
      <c r="O53" s="82"/>
      <c r="P53" s="82"/>
      <c r="Q53" s="82"/>
    </row>
    <row r="54" spans="1:17" hidden="1" x14ac:dyDescent="0.35">
      <c r="A54" s="41"/>
      <c r="B54" s="42"/>
      <c r="C54" s="11"/>
      <c r="D54" s="11"/>
      <c r="E54" s="3"/>
      <c r="F54" s="19"/>
      <c r="G54" s="1"/>
      <c r="H54" s="12"/>
      <c r="I54" s="12"/>
      <c r="J54" s="77"/>
      <c r="K54" s="2" t="str">
        <f t="shared" si="0"/>
        <v>Failed!</v>
      </c>
      <c r="L54" s="53"/>
      <c r="M54" s="80"/>
      <c r="N54" s="42"/>
      <c r="O54" s="82"/>
      <c r="P54" s="82"/>
      <c r="Q54" s="82"/>
    </row>
    <row r="55" spans="1:17" hidden="1" x14ac:dyDescent="0.35">
      <c r="A55" s="41"/>
      <c r="B55" s="42"/>
      <c r="C55" s="11"/>
      <c r="D55" s="11"/>
      <c r="E55" s="3"/>
      <c r="F55" s="19"/>
      <c r="G55" s="1"/>
      <c r="H55" s="12"/>
      <c r="I55" s="12"/>
      <c r="J55" s="77"/>
      <c r="K55" s="2" t="str">
        <f t="shared" si="0"/>
        <v>Failed!</v>
      </c>
      <c r="L55" s="53"/>
      <c r="M55" s="80"/>
      <c r="N55" s="42"/>
      <c r="O55" s="82"/>
      <c r="P55" s="82"/>
      <c r="Q55" s="82"/>
    </row>
    <row r="56" spans="1:17" hidden="1" x14ac:dyDescent="0.35">
      <c r="A56" s="41"/>
      <c r="B56" s="42"/>
      <c r="C56" s="11"/>
      <c r="D56" s="11"/>
      <c r="E56" s="3"/>
      <c r="F56" s="19"/>
      <c r="G56" s="1"/>
      <c r="H56" s="12"/>
      <c r="I56" s="12"/>
      <c r="J56" s="77"/>
      <c r="K56" s="2" t="str">
        <f t="shared" si="0"/>
        <v>Failed!</v>
      </c>
      <c r="L56" s="53"/>
      <c r="M56" s="80"/>
      <c r="N56" s="42"/>
      <c r="O56" s="82"/>
      <c r="P56" s="82"/>
      <c r="Q56" s="82"/>
    </row>
    <row r="57" spans="1:17" hidden="1" x14ac:dyDescent="0.35">
      <c r="A57" s="41"/>
      <c r="B57" s="42"/>
      <c r="C57" s="11"/>
      <c r="D57" s="11"/>
      <c r="E57" s="3"/>
      <c r="F57" s="19"/>
      <c r="G57" s="1"/>
      <c r="H57" s="12"/>
      <c r="I57" s="12"/>
      <c r="J57" s="77"/>
      <c r="K57" s="2" t="str">
        <f t="shared" si="0"/>
        <v>Failed!</v>
      </c>
      <c r="L57" s="53"/>
      <c r="M57" s="80"/>
      <c r="N57" s="42"/>
      <c r="O57" s="82"/>
      <c r="P57" s="82"/>
      <c r="Q57" s="82"/>
    </row>
    <row r="58" spans="1:17" hidden="1" x14ac:dyDescent="0.35">
      <c r="A58" s="41"/>
      <c r="B58" s="42"/>
      <c r="C58" s="11"/>
      <c r="D58" s="11"/>
      <c r="E58" s="3"/>
      <c r="F58" s="19"/>
      <c r="G58" s="1"/>
      <c r="H58" s="12"/>
      <c r="I58" s="12"/>
      <c r="J58" s="77"/>
      <c r="K58" s="2" t="str">
        <f t="shared" si="0"/>
        <v>Failed!</v>
      </c>
      <c r="L58" s="53"/>
      <c r="M58" s="80"/>
      <c r="N58" s="42"/>
      <c r="O58" s="82"/>
      <c r="P58" s="82"/>
      <c r="Q58" s="82"/>
    </row>
    <row r="59" spans="1:17" hidden="1" x14ac:dyDescent="0.35">
      <c r="A59" s="41"/>
      <c r="B59" s="42"/>
      <c r="C59" s="11"/>
      <c r="D59" s="11"/>
      <c r="E59" s="3"/>
      <c r="F59" s="18"/>
      <c r="G59" s="9"/>
      <c r="H59" s="10"/>
      <c r="I59" s="10"/>
      <c r="J59" s="76"/>
      <c r="K59" s="2" t="str">
        <f t="shared" si="0"/>
        <v>Failed!</v>
      </c>
      <c r="L59" s="53"/>
      <c r="M59" s="80"/>
      <c r="N59" s="42"/>
      <c r="O59" s="82"/>
      <c r="P59" s="82"/>
      <c r="Q59" s="82"/>
    </row>
    <row r="60" spans="1:17" hidden="1" x14ac:dyDescent="0.35">
      <c r="A60" s="41"/>
      <c r="B60" s="42"/>
      <c r="C60" s="11"/>
      <c r="D60" s="11"/>
      <c r="E60" s="3"/>
      <c r="F60" s="18"/>
      <c r="G60" s="9"/>
      <c r="H60" s="10"/>
      <c r="I60" s="10"/>
      <c r="J60" s="76"/>
      <c r="K60" s="2" t="str">
        <f t="shared" si="0"/>
        <v>Failed!</v>
      </c>
      <c r="L60" s="53"/>
      <c r="M60" s="80"/>
      <c r="N60" s="42"/>
      <c r="O60" s="82"/>
      <c r="P60" s="82"/>
      <c r="Q60" s="82"/>
    </row>
    <row r="61" spans="1:17" hidden="1" x14ac:dyDescent="0.35">
      <c r="A61" s="41"/>
      <c r="B61" s="42"/>
      <c r="C61" s="11"/>
      <c r="D61" s="11"/>
      <c r="E61" s="3"/>
      <c r="F61" s="18"/>
      <c r="G61" s="9"/>
      <c r="H61" s="10"/>
      <c r="I61" s="10"/>
      <c r="J61" s="76"/>
      <c r="K61" s="2" t="str">
        <f t="shared" si="0"/>
        <v>Failed!</v>
      </c>
      <c r="L61" s="53"/>
      <c r="M61" s="80"/>
      <c r="N61" s="42"/>
      <c r="O61" s="82"/>
      <c r="P61" s="82"/>
      <c r="Q61" s="82"/>
    </row>
    <row r="62" spans="1:17" hidden="1" x14ac:dyDescent="0.35">
      <c r="A62" s="41"/>
      <c r="B62" s="42"/>
      <c r="C62" s="11"/>
      <c r="D62" s="11"/>
      <c r="E62" s="3"/>
      <c r="F62" s="18"/>
      <c r="G62" s="9"/>
      <c r="H62" s="10"/>
      <c r="I62" s="10"/>
      <c r="J62" s="76"/>
      <c r="K62" s="2" t="str">
        <f t="shared" si="0"/>
        <v>Failed!</v>
      </c>
      <c r="L62" s="53"/>
      <c r="M62" s="80"/>
      <c r="N62" s="42"/>
      <c r="O62" s="82"/>
      <c r="P62" s="82"/>
      <c r="Q62" s="82"/>
    </row>
    <row r="63" spans="1:17" hidden="1" x14ac:dyDescent="0.35">
      <c r="A63" s="41"/>
      <c r="B63" s="42"/>
      <c r="C63" s="11"/>
      <c r="D63" s="11"/>
      <c r="E63" s="3"/>
      <c r="F63" s="18"/>
      <c r="G63" s="9"/>
      <c r="H63" s="10"/>
      <c r="I63" s="10"/>
      <c r="J63" s="76"/>
      <c r="K63" s="2" t="str">
        <f t="shared" si="0"/>
        <v>Failed!</v>
      </c>
      <c r="L63" s="53"/>
      <c r="M63" s="80"/>
      <c r="N63" s="42"/>
      <c r="O63" s="82"/>
      <c r="P63" s="82"/>
      <c r="Q63" s="82"/>
    </row>
    <row r="64" spans="1:17" hidden="1" x14ac:dyDescent="0.35">
      <c r="A64" s="41"/>
      <c r="B64" s="42"/>
      <c r="C64" s="11"/>
      <c r="D64" s="11"/>
      <c r="E64" s="3"/>
      <c r="F64" s="18"/>
      <c r="G64" s="9"/>
      <c r="H64" s="10"/>
      <c r="I64" s="10"/>
      <c r="J64" s="76"/>
      <c r="K64" s="2" t="str">
        <f t="shared" si="0"/>
        <v>Failed!</v>
      </c>
      <c r="L64" s="53"/>
      <c r="M64" s="80"/>
      <c r="N64" s="42"/>
      <c r="O64" s="82"/>
      <c r="P64" s="82"/>
      <c r="Q64" s="82"/>
    </row>
    <row r="65" spans="1:17" hidden="1" x14ac:dyDescent="0.35">
      <c r="A65" s="41"/>
      <c r="B65" s="42"/>
      <c r="C65" s="11"/>
      <c r="D65" s="11"/>
      <c r="E65" s="3"/>
      <c r="F65" s="18"/>
      <c r="G65" s="9"/>
      <c r="H65" s="10"/>
      <c r="I65" s="10"/>
      <c r="J65" s="76"/>
      <c r="K65" s="2" t="str">
        <f t="shared" si="0"/>
        <v>Failed!</v>
      </c>
      <c r="L65" s="53"/>
      <c r="M65" s="80"/>
      <c r="N65" s="42"/>
      <c r="O65" s="82"/>
      <c r="P65" s="82"/>
      <c r="Q65" s="82"/>
    </row>
    <row r="66" spans="1:17" hidden="1" x14ac:dyDescent="0.35">
      <c r="A66" s="41"/>
      <c r="B66" s="42"/>
      <c r="C66" s="11"/>
      <c r="D66" s="11"/>
      <c r="E66" s="3"/>
      <c r="F66" s="18"/>
      <c r="G66" s="9"/>
      <c r="H66" s="10"/>
      <c r="I66" s="10"/>
      <c r="J66" s="76"/>
      <c r="K66" s="2" t="str">
        <f t="shared" si="0"/>
        <v>Failed!</v>
      </c>
      <c r="L66" s="53"/>
      <c r="M66" s="80"/>
      <c r="N66" s="42"/>
      <c r="O66" s="82"/>
      <c r="P66" s="82"/>
      <c r="Q66" s="82"/>
    </row>
    <row r="67" spans="1:17" hidden="1" x14ac:dyDescent="0.35">
      <c r="A67" s="41"/>
      <c r="B67" s="42"/>
      <c r="C67" s="11"/>
      <c r="D67" s="11"/>
      <c r="E67" s="3"/>
      <c r="F67" s="18"/>
      <c r="G67" s="9"/>
      <c r="H67" s="10"/>
      <c r="I67" s="10"/>
      <c r="J67" s="76"/>
      <c r="K67" s="2" t="str">
        <f t="shared" si="0"/>
        <v>Failed!</v>
      </c>
      <c r="L67" s="53"/>
      <c r="M67" s="80"/>
      <c r="N67" s="42"/>
      <c r="O67" s="82"/>
      <c r="P67" s="82"/>
      <c r="Q67" s="82"/>
    </row>
    <row r="68" spans="1:17" hidden="1" x14ac:dyDescent="0.35">
      <c r="A68" s="41"/>
      <c r="B68" s="42"/>
      <c r="C68" s="11"/>
      <c r="D68" s="11"/>
      <c r="E68" s="3"/>
      <c r="F68" s="18"/>
      <c r="G68" s="9"/>
      <c r="H68" s="10"/>
      <c r="I68" s="10"/>
      <c r="J68" s="76"/>
      <c r="K68" s="2" t="str">
        <f t="shared" si="0"/>
        <v>Failed!</v>
      </c>
      <c r="L68" s="53"/>
      <c r="M68" s="80"/>
      <c r="N68" s="42"/>
      <c r="O68" s="82"/>
      <c r="P68" s="82"/>
      <c r="Q68" s="82"/>
    </row>
    <row r="69" spans="1:17" hidden="1" x14ac:dyDescent="0.35">
      <c r="A69" s="41"/>
      <c r="B69" s="42"/>
      <c r="C69" s="11"/>
      <c r="D69" s="11"/>
      <c r="E69" s="3"/>
      <c r="F69" s="18"/>
      <c r="G69" s="9"/>
      <c r="H69" s="10"/>
      <c r="I69" s="10"/>
      <c r="J69" s="76"/>
      <c r="K69" s="2" t="str">
        <f t="shared" si="0"/>
        <v>Failed!</v>
      </c>
      <c r="L69" s="53"/>
      <c r="M69" s="80"/>
      <c r="N69" s="42"/>
      <c r="O69" s="82"/>
      <c r="P69" s="82"/>
      <c r="Q69" s="82"/>
    </row>
    <row r="70" spans="1:17" hidden="1" x14ac:dyDescent="0.35">
      <c r="A70" s="41"/>
      <c r="B70" s="42"/>
      <c r="C70" s="11"/>
      <c r="D70" s="11"/>
      <c r="E70" s="3"/>
      <c r="F70" s="18"/>
      <c r="G70" s="9"/>
      <c r="H70" s="10"/>
      <c r="I70" s="10"/>
      <c r="J70" s="76"/>
      <c r="K70" s="2" t="str">
        <f t="shared" si="0"/>
        <v>Failed!</v>
      </c>
      <c r="L70" s="53"/>
      <c r="M70" s="80"/>
      <c r="N70" s="42"/>
      <c r="O70" s="82"/>
      <c r="P70" s="82"/>
      <c r="Q70" s="82"/>
    </row>
    <row r="71" spans="1:17" hidden="1" x14ac:dyDescent="0.35">
      <c r="A71" s="41"/>
      <c r="B71" s="42"/>
      <c r="C71" s="11"/>
      <c r="D71" s="11"/>
      <c r="E71" s="3"/>
      <c r="F71" s="18"/>
      <c r="G71" s="9"/>
      <c r="H71" s="10"/>
      <c r="I71" s="10"/>
      <c r="J71" s="76"/>
      <c r="K71" s="2" t="str">
        <f t="shared" si="0"/>
        <v>Failed!</v>
      </c>
      <c r="L71" s="53"/>
      <c r="M71" s="80"/>
      <c r="N71" s="42"/>
      <c r="O71" s="82"/>
      <c r="P71" s="82"/>
      <c r="Q71" s="82"/>
    </row>
    <row r="72" spans="1:17" hidden="1" x14ac:dyDescent="0.35">
      <c r="A72" s="41"/>
      <c r="B72" s="42"/>
      <c r="C72" s="11"/>
      <c r="D72" s="11"/>
      <c r="E72" s="3"/>
      <c r="F72" s="18"/>
      <c r="G72" s="9"/>
      <c r="H72" s="10"/>
      <c r="I72" s="10"/>
      <c r="J72" s="76"/>
      <c r="K72" s="2" t="str">
        <f t="shared" si="0"/>
        <v>Failed!</v>
      </c>
      <c r="L72" s="53"/>
      <c r="M72" s="80"/>
      <c r="N72" s="42"/>
      <c r="O72" s="82"/>
      <c r="P72" s="82"/>
      <c r="Q72" s="82"/>
    </row>
    <row r="73" spans="1:17" hidden="1" x14ac:dyDescent="0.35">
      <c r="A73" s="41"/>
      <c r="B73" s="42"/>
      <c r="C73" s="11"/>
      <c r="D73" s="11"/>
      <c r="E73" s="3"/>
      <c r="F73" s="18"/>
      <c r="G73" s="9"/>
      <c r="H73" s="10"/>
      <c r="I73" s="10"/>
      <c r="J73" s="76"/>
      <c r="K73" s="2" t="str">
        <f t="shared" si="0"/>
        <v>Failed!</v>
      </c>
      <c r="L73" s="53"/>
      <c r="M73" s="80"/>
      <c r="N73" s="42"/>
      <c r="O73" s="82"/>
      <c r="P73" s="82"/>
      <c r="Q73" s="82"/>
    </row>
    <row r="74" spans="1:17" hidden="1" x14ac:dyDescent="0.35">
      <c r="A74" s="41"/>
      <c r="B74" s="42"/>
      <c r="C74" s="11"/>
      <c r="D74" s="11"/>
      <c r="E74" s="3"/>
      <c r="F74" s="18"/>
      <c r="G74" s="9"/>
      <c r="H74" s="10"/>
      <c r="I74" s="10"/>
      <c r="J74" s="76"/>
      <c r="K74" s="2" t="str">
        <f t="shared" ref="K74:K88" si="1">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1"/>
        <v>Failed!</v>
      </c>
      <c r="L75" s="53"/>
      <c r="M75" s="80"/>
      <c r="N75" s="42"/>
      <c r="O75" s="82"/>
      <c r="P75" s="82"/>
      <c r="Q75" s="82"/>
    </row>
    <row r="76" spans="1:17" hidden="1" x14ac:dyDescent="0.35">
      <c r="A76" s="41"/>
      <c r="B76" s="42"/>
      <c r="C76" s="11"/>
      <c r="D76" s="11"/>
      <c r="E76" s="3"/>
      <c r="F76" s="18"/>
      <c r="G76" s="9"/>
      <c r="H76" s="10"/>
      <c r="I76" s="10"/>
      <c r="J76" s="76"/>
      <c r="K76" s="2" t="str">
        <f t="shared" si="1"/>
        <v>Failed!</v>
      </c>
      <c r="L76" s="53"/>
      <c r="M76" s="80"/>
      <c r="N76" s="42"/>
      <c r="O76" s="82"/>
      <c r="P76" s="82"/>
      <c r="Q76" s="82"/>
    </row>
    <row r="77" spans="1:17" hidden="1" x14ac:dyDescent="0.35">
      <c r="A77" s="41"/>
      <c r="B77" s="42"/>
      <c r="C77" s="11"/>
      <c r="D77" s="11"/>
      <c r="E77" s="3"/>
      <c r="F77" s="18"/>
      <c r="G77" s="9"/>
      <c r="H77" s="10"/>
      <c r="I77" s="10"/>
      <c r="J77" s="76"/>
      <c r="K77" s="2" t="str">
        <f t="shared" si="1"/>
        <v>Failed!</v>
      </c>
      <c r="L77" s="53"/>
      <c r="M77" s="80"/>
      <c r="N77" s="42"/>
      <c r="O77" s="82"/>
      <c r="P77" s="82"/>
      <c r="Q77" s="82"/>
    </row>
    <row r="78" spans="1:17" hidden="1" x14ac:dyDescent="0.35">
      <c r="A78" s="41"/>
      <c r="B78" s="42"/>
      <c r="C78" s="11"/>
      <c r="D78" s="11"/>
      <c r="E78" s="3"/>
      <c r="F78" s="18"/>
      <c r="G78" s="9"/>
      <c r="H78" s="10"/>
      <c r="I78" s="10"/>
      <c r="J78" s="76"/>
      <c r="K78" s="2" t="str">
        <f t="shared" si="1"/>
        <v>Failed!</v>
      </c>
      <c r="L78" s="53"/>
      <c r="M78" s="80"/>
      <c r="N78" s="42"/>
      <c r="O78" s="82"/>
      <c r="P78" s="82"/>
      <c r="Q78" s="82"/>
    </row>
    <row r="79" spans="1:17" hidden="1" x14ac:dyDescent="0.35">
      <c r="A79" s="41"/>
      <c r="B79" s="42"/>
      <c r="C79" s="11"/>
      <c r="D79" s="11"/>
      <c r="E79" s="3"/>
      <c r="F79" s="18"/>
      <c r="G79" s="9"/>
      <c r="H79" s="10"/>
      <c r="I79" s="10"/>
      <c r="J79" s="76"/>
      <c r="K79" s="2" t="str">
        <f t="shared" si="1"/>
        <v>Failed!</v>
      </c>
      <c r="L79" s="53"/>
      <c r="M79" s="80"/>
      <c r="N79" s="42"/>
      <c r="O79" s="82"/>
      <c r="P79" s="82"/>
      <c r="Q79" s="82"/>
    </row>
    <row r="80" spans="1:17" hidden="1" x14ac:dyDescent="0.35">
      <c r="A80" s="41"/>
      <c r="B80" s="42"/>
      <c r="C80" s="11"/>
      <c r="D80" s="11"/>
      <c r="E80" s="3"/>
      <c r="F80" s="18"/>
      <c r="G80" s="9"/>
      <c r="H80" s="10"/>
      <c r="I80" s="10"/>
      <c r="J80" s="76"/>
      <c r="K80" s="2" t="str">
        <f t="shared" si="1"/>
        <v>Failed!</v>
      </c>
      <c r="L80" s="53"/>
      <c r="M80" s="80"/>
      <c r="N80" s="42"/>
      <c r="O80" s="82"/>
      <c r="P80" s="82"/>
      <c r="Q80" s="82"/>
    </row>
    <row r="81" spans="1:17" hidden="1" x14ac:dyDescent="0.35">
      <c r="A81" s="41"/>
      <c r="B81" s="42"/>
      <c r="C81" s="11"/>
      <c r="D81" s="11"/>
      <c r="E81" s="3"/>
      <c r="F81" s="18"/>
      <c r="G81" s="9"/>
      <c r="H81" s="10"/>
      <c r="I81" s="10"/>
      <c r="J81" s="76"/>
      <c r="K81" s="2" t="str">
        <f t="shared" si="1"/>
        <v>Failed!</v>
      </c>
      <c r="L81" s="53"/>
      <c r="M81" s="80"/>
      <c r="N81" s="42"/>
      <c r="O81" s="82"/>
      <c r="P81" s="82"/>
      <c r="Q81" s="82"/>
    </row>
    <row r="82" spans="1:17" hidden="1" x14ac:dyDescent="0.35">
      <c r="A82" s="41"/>
      <c r="B82" s="42"/>
      <c r="C82" s="11"/>
      <c r="D82" s="11"/>
      <c r="E82" s="3"/>
      <c r="F82" s="18"/>
      <c r="G82" s="9"/>
      <c r="H82" s="10"/>
      <c r="I82" s="10"/>
      <c r="J82" s="76"/>
      <c r="K82" s="2" t="str">
        <f t="shared" si="1"/>
        <v>Failed!</v>
      </c>
      <c r="L82" s="53"/>
      <c r="M82" s="80"/>
      <c r="N82" s="42"/>
      <c r="O82" s="82"/>
      <c r="P82" s="82"/>
      <c r="Q82" s="82"/>
    </row>
    <row r="83" spans="1:17" hidden="1" x14ac:dyDescent="0.35">
      <c r="A83" s="41"/>
      <c r="B83" s="42"/>
      <c r="C83" s="11"/>
      <c r="D83" s="11"/>
      <c r="E83" s="3"/>
      <c r="F83" s="18"/>
      <c r="G83" s="9"/>
      <c r="H83" s="10"/>
      <c r="I83" s="10"/>
      <c r="J83" s="76"/>
      <c r="K83" s="2" t="str">
        <f t="shared" si="1"/>
        <v>Failed!</v>
      </c>
      <c r="L83" s="53"/>
      <c r="M83" s="80"/>
      <c r="N83" s="42"/>
      <c r="O83" s="82"/>
      <c r="P83" s="82"/>
      <c r="Q83" s="82"/>
    </row>
    <row r="84" spans="1:17" hidden="1" x14ac:dyDescent="0.35">
      <c r="A84" s="41"/>
      <c r="B84" s="42"/>
      <c r="C84" s="11"/>
      <c r="D84" s="11"/>
      <c r="E84" s="3"/>
      <c r="F84" s="18"/>
      <c r="G84" s="9"/>
      <c r="H84" s="10"/>
      <c r="I84" s="10"/>
      <c r="J84" s="76"/>
      <c r="K84" s="2" t="str">
        <f t="shared" si="1"/>
        <v>Failed!</v>
      </c>
      <c r="L84" s="53"/>
      <c r="M84" s="80"/>
      <c r="N84" s="42"/>
      <c r="O84" s="82"/>
      <c r="P84" s="82"/>
      <c r="Q84" s="82"/>
    </row>
    <row r="85" spans="1:17" hidden="1" x14ac:dyDescent="0.35">
      <c r="A85" s="41"/>
      <c r="B85" s="42"/>
      <c r="C85" s="11"/>
      <c r="D85" s="11"/>
      <c r="E85" s="3"/>
      <c r="F85" s="18"/>
      <c r="G85" s="9"/>
      <c r="H85" s="10"/>
      <c r="I85" s="10"/>
      <c r="J85" s="76"/>
      <c r="K85" s="2" t="str">
        <f t="shared" si="1"/>
        <v>Failed!</v>
      </c>
      <c r="L85" s="53"/>
      <c r="M85" s="80"/>
      <c r="N85" s="42"/>
      <c r="O85" s="82"/>
      <c r="P85" s="82"/>
      <c r="Q85" s="82"/>
    </row>
    <row r="86" spans="1:17" hidden="1" x14ac:dyDescent="0.35">
      <c r="A86" s="41"/>
      <c r="B86" s="42"/>
      <c r="C86" s="11"/>
      <c r="D86" s="11"/>
      <c r="E86" s="3"/>
      <c r="F86" s="18"/>
      <c r="G86" s="9"/>
      <c r="H86" s="10"/>
      <c r="I86" s="10"/>
      <c r="J86" s="76"/>
      <c r="K86" s="2" t="str">
        <f t="shared" si="1"/>
        <v>Failed!</v>
      </c>
      <c r="L86" s="53"/>
      <c r="M86" s="80"/>
      <c r="N86" s="42"/>
      <c r="O86" s="82"/>
      <c r="P86" s="82"/>
      <c r="Q86" s="82"/>
    </row>
    <row r="87" spans="1:17" hidden="1" x14ac:dyDescent="0.35">
      <c r="A87" s="41"/>
      <c r="B87" s="42"/>
      <c r="C87" s="11"/>
      <c r="D87" s="11"/>
      <c r="E87" s="3"/>
      <c r="F87" s="18"/>
      <c r="G87" s="9"/>
      <c r="H87" s="10"/>
      <c r="I87" s="10"/>
      <c r="J87" s="76"/>
      <c r="K87" s="2" t="str">
        <f t="shared" si="1"/>
        <v>Failed!</v>
      </c>
      <c r="L87" s="53"/>
      <c r="M87" s="80"/>
      <c r="N87" s="42"/>
      <c r="O87" s="82"/>
      <c r="P87" s="82"/>
      <c r="Q87" s="82"/>
    </row>
    <row r="88" spans="1:17" hidden="1" x14ac:dyDescent="0.35">
      <c r="A88" s="41"/>
      <c r="B88" s="42"/>
      <c r="C88" s="11"/>
      <c r="D88" s="11"/>
      <c r="E88" s="3"/>
      <c r="F88" s="18"/>
      <c r="G88" s="9"/>
      <c r="H88" s="10"/>
      <c r="I88" s="10"/>
      <c r="J88" s="76"/>
      <c r="K88" s="2" t="str">
        <f t="shared" si="1"/>
        <v>Failed!</v>
      </c>
      <c r="L88" s="53"/>
      <c r="M88" s="80"/>
      <c r="N88" s="42"/>
      <c r="O88" s="82"/>
      <c r="P88" s="82"/>
      <c r="Q88" s="82"/>
    </row>
    <row r="89" spans="1:17" x14ac:dyDescent="0.35">
      <c r="M89" s="4"/>
    </row>
    <row r="90" spans="1:17" x14ac:dyDescent="0.35">
      <c r="F90" s="4">
        <f>COUNTA(F10:F88)</f>
        <v>5</v>
      </c>
      <c r="G90" s="2" t="s">
        <v>14</v>
      </c>
      <c r="H90" s="40">
        <f>MAX(H10:H88)</f>
        <v>87.5</v>
      </c>
      <c r="I90" s="40">
        <f>MAX(I10:I88)</f>
        <v>0</v>
      </c>
      <c r="J90" s="40">
        <f>MAX(L10:L88)</f>
        <v>87.5</v>
      </c>
      <c r="M90" s="4"/>
    </row>
    <row r="91" spans="1:17" x14ac:dyDescent="0.35">
      <c r="G91" s="2" t="s">
        <v>12</v>
      </c>
      <c r="H91" s="40">
        <f>AVERAGE(H10:H88)</f>
        <v>68.724000000000004</v>
      </c>
      <c r="I91" s="40" t="e">
        <f>AVERAGE(I10:I88)</f>
        <v>#DIV/0!</v>
      </c>
      <c r="J91" s="40">
        <f>AVERAGE(L10:L88)</f>
        <v>68.724000000000004</v>
      </c>
      <c r="M91" s="4"/>
    </row>
    <row r="92" spans="1:17" x14ac:dyDescent="0.35">
      <c r="G92" s="2" t="s">
        <v>15</v>
      </c>
      <c r="H92" s="40">
        <f>MIN(H10:H88)</f>
        <v>57.6</v>
      </c>
      <c r="I92" s="40">
        <f>MIN(I10:I88)</f>
        <v>0</v>
      </c>
      <c r="J92" s="40">
        <f>MIN(L10:L88)</f>
        <v>57.6</v>
      </c>
      <c r="M92" s="4"/>
    </row>
    <row r="93" spans="1:17" x14ac:dyDescent="0.35">
      <c r="G93" s="2" t="s">
        <v>13</v>
      </c>
      <c r="H93" s="40">
        <f>STDEV(H10:H88)</f>
        <v>12.457812006929624</v>
      </c>
      <c r="I93" s="40" t="e">
        <f>STDEV(I10:I88)</f>
        <v>#DIV/0!</v>
      </c>
      <c r="J93" s="40">
        <f>STDEV(L10:L88)</f>
        <v>12.457812006929624</v>
      </c>
      <c r="M93" s="4"/>
    </row>
    <row r="94" spans="1:17" x14ac:dyDescent="0.35">
      <c r="G94" s="2" t="str">
        <f>"Failed count ( &lt; " &amp; K6 &amp; " )"</f>
        <v>Failed count ( &lt; 40 )</v>
      </c>
      <c r="H94" s="50">
        <f>COUNTIF(H10:H88, "&lt;40")</f>
        <v>0</v>
      </c>
      <c r="I94" s="50">
        <f>COUNTIF(I10:I88, "&lt;40")</f>
        <v>0</v>
      </c>
      <c r="J94" s="50">
        <f>COUNTIF(L10:L88, "&lt;40")</f>
        <v>0</v>
      </c>
      <c r="M94" s="4"/>
    </row>
    <row r="95" spans="1:17" x14ac:dyDescent="0.35">
      <c r="G95" s="2" t="s">
        <v>16</v>
      </c>
      <c r="H95" s="49">
        <f>1-H94/$F90</f>
        <v>1</v>
      </c>
      <c r="I95" s="49">
        <f>1-I94/$F90</f>
        <v>1</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71" priority="1" operator="lessThan">
      <formula>$K$6</formula>
    </cfRule>
  </conditionalFormatting>
  <conditionalFormatting sqref="F10:I88">
    <cfRule type="expression" dxfId="70" priority="2" stopIfTrue="1">
      <formula>F10=A10</formula>
    </cfRule>
    <cfRule type="expression" dxfId="69" priority="3" stopIfTrue="1">
      <formula>F10&lt;&gt;A10</formula>
    </cfRule>
  </conditionalFormatting>
  <conditionalFormatting sqref="M10:Q14">
    <cfRule type="expression" dxfId="68" priority="4" stopIfTrue="1">
      <formula>M10=F10</formula>
    </cfRule>
    <cfRule type="expression" dxfId="6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69634"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69635"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R109"/>
  <sheetViews>
    <sheetView zoomScaleNormal="100" workbookViewId="0">
      <pane xSplit="1" ySplit="9" topLeftCell="J10" activePane="bottomRight" state="frozen"/>
      <selection activeCell="E16" sqref="E16"/>
      <selection pane="topRight" activeCell="E16" sqref="E16"/>
      <selection pane="bottomLeft" activeCell="E16" sqref="E16"/>
      <selection pane="bottomRight" activeCell="N12" sqref="N12"/>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4</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81</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82</v>
      </c>
      <c r="C5" s="14"/>
      <c r="D5" s="16"/>
      <c r="F5" s="59" t="s">
        <v>38</v>
      </c>
      <c r="L5" s="52"/>
      <c r="M5" s="47" t="s">
        <v>49</v>
      </c>
    </row>
    <row r="6" spans="1:18" x14ac:dyDescent="0.35">
      <c r="A6" s="20" t="s">
        <v>37</v>
      </c>
      <c r="B6" s="13" t="s">
        <v>68</v>
      </c>
      <c r="C6" s="14"/>
      <c r="D6" s="16"/>
      <c r="F6" s="59" t="s">
        <v>54</v>
      </c>
      <c r="J6" s="70">
        <v>35</v>
      </c>
      <c r="K6" s="70">
        <v>40</v>
      </c>
      <c r="L6" s="52"/>
      <c r="N6" s="51" t="str">
        <f>"int124ms - bcscu.pdf"</f>
        <v>int124ms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10878369</v>
      </c>
      <c r="B10" s="42" t="s">
        <v>72</v>
      </c>
      <c r="C10" s="11">
        <v>92.5</v>
      </c>
      <c r="D10" s="11" t="s">
        <v>69</v>
      </c>
      <c r="E10" s="3"/>
      <c r="F10" s="18">
        <v>10878369</v>
      </c>
      <c r="G10" s="9" t="s">
        <v>246</v>
      </c>
      <c r="H10" s="10">
        <v>92.5</v>
      </c>
      <c r="I10" s="10" t="s">
        <v>69</v>
      </c>
      <c r="J10" s="76">
        <v>92.5</v>
      </c>
      <c r="K10" s="2" t="s">
        <v>398</v>
      </c>
      <c r="L10" s="53">
        <v>92.5</v>
      </c>
      <c r="M10" s="80">
        <v>10878369</v>
      </c>
      <c r="N10" s="42" t="s">
        <v>400</v>
      </c>
      <c r="O10" s="82">
        <v>92.5</v>
      </c>
      <c r="P10" s="82" t="s">
        <v>69</v>
      </c>
      <c r="Q10" s="82">
        <v>92.5</v>
      </c>
      <c r="R10" s="84">
        <f>ROUND(Q10 - ABS(J10), 2)</f>
        <v>0</v>
      </c>
    </row>
    <row r="11" spans="1:18" x14ac:dyDescent="0.35">
      <c r="A11" s="41">
        <v>10878358</v>
      </c>
      <c r="B11" s="43" t="s">
        <v>73</v>
      </c>
      <c r="C11" s="11">
        <v>80.41</v>
      </c>
      <c r="D11" s="11" t="s">
        <v>69</v>
      </c>
      <c r="E11" s="3"/>
      <c r="F11" s="18">
        <v>10878358</v>
      </c>
      <c r="G11" s="9" t="s">
        <v>247</v>
      </c>
      <c r="H11" s="10">
        <v>80.41</v>
      </c>
      <c r="I11" s="10" t="s">
        <v>69</v>
      </c>
      <c r="J11" s="76">
        <v>80.41</v>
      </c>
      <c r="K11" s="2" t="s">
        <v>398</v>
      </c>
      <c r="L11" s="53">
        <v>80.41</v>
      </c>
      <c r="M11" s="80">
        <v>10878358</v>
      </c>
      <c r="N11" s="42" t="s">
        <v>401</v>
      </c>
      <c r="O11" s="82">
        <v>80.41</v>
      </c>
      <c r="P11" s="82" t="s">
        <v>69</v>
      </c>
      <c r="Q11" s="82">
        <v>80.41</v>
      </c>
      <c r="R11" s="84">
        <f>ROUND(Q11 - ABS(J11), 2)</f>
        <v>0</v>
      </c>
    </row>
    <row r="12" spans="1:18" x14ac:dyDescent="0.35">
      <c r="A12" s="41">
        <v>10956427</v>
      </c>
      <c r="B12" s="42" t="s">
        <v>74</v>
      </c>
      <c r="C12" s="11">
        <v>73.209999999999994</v>
      </c>
      <c r="D12" s="11" t="s">
        <v>69</v>
      </c>
      <c r="E12" s="3"/>
      <c r="F12" s="18">
        <v>10956427</v>
      </c>
      <c r="G12" s="9" t="s">
        <v>248</v>
      </c>
      <c r="H12" s="10">
        <v>73.209999999999994</v>
      </c>
      <c r="I12" s="10" t="s">
        <v>69</v>
      </c>
      <c r="J12" s="76">
        <v>73.209999999999994</v>
      </c>
      <c r="K12" s="2" t="s">
        <v>398</v>
      </c>
      <c r="L12" s="53">
        <v>73.209999999999994</v>
      </c>
      <c r="M12" s="80">
        <v>10956427</v>
      </c>
      <c r="N12" s="42" t="s">
        <v>402</v>
      </c>
      <c r="O12" s="82">
        <v>73.209999999999994</v>
      </c>
      <c r="P12" s="82" t="s">
        <v>69</v>
      </c>
      <c r="Q12" s="82">
        <v>73.209999999999994</v>
      </c>
      <c r="R12" s="84">
        <f>ROUND(Q12 - ABS(J12), 2)</f>
        <v>0</v>
      </c>
    </row>
    <row r="13" spans="1:18" x14ac:dyDescent="0.35">
      <c r="A13" s="41">
        <v>11323976</v>
      </c>
      <c r="B13" s="42" t="s">
        <v>75</v>
      </c>
      <c r="C13" s="11">
        <v>70.5</v>
      </c>
      <c r="D13" s="11" t="s">
        <v>69</v>
      </c>
      <c r="E13" s="3"/>
      <c r="F13" s="18">
        <v>11323976</v>
      </c>
      <c r="G13" s="9" t="s">
        <v>249</v>
      </c>
      <c r="H13" s="10">
        <v>70.510000000000005</v>
      </c>
      <c r="I13" s="10" t="s">
        <v>69</v>
      </c>
      <c r="J13" s="76">
        <v>70.510000000000005</v>
      </c>
      <c r="K13" s="2" t="s">
        <v>398</v>
      </c>
      <c r="L13" s="53">
        <v>70.510000000000005</v>
      </c>
      <c r="M13" s="80">
        <v>11323976</v>
      </c>
      <c r="N13" s="42" t="s">
        <v>399</v>
      </c>
      <c r="O13" s="82">
        <v>70.5</v>
      </c>
      <c r="P13" s="82" t="s">
        <v>69</v>
      </c>
      <c r="Q13" s="82">
        <v>70.5</v>
      </c>
      <c r="R13" s="84">
        <f>ROUND(Q13 - ABS(J13), 2)</f>
        <v>-0.01</v>
      </c>
    </row>
    <row r="14" spans="1:18" hidden="1" x14ac:dyDescent="0.35">
      <c r="A14" s="41"/>
      <c r="B14" s="42"/>
      <c r="C14" s="11"/>
      <c r="D14" s="11"/>
      <c r="E14" s="3"/>
      <c r="F14" s="18"/>
      <c r="G14" s="9"/>
      <c r="H14" s="10"/>
      <c r="I14" s="10"/>
      <c r="J14" s="76"/>
      <c r="K14" s="2" t="str">
        <f t="shared" ref="K14:K73" si="0">IF(I14="-", IF(J14&lt;$K$6, "Failed!", "pass"), IF(AND(H14&gt;=$J$6, I14&gt;=$J$6, J14&gt;=$K$6), "pass", "Failed!"))</f>
        <v>Failed!</v>
      </c>
      <c r="L14" s="53"/>
      <c r="M14" s="80"/>
      <c r="N14" s="42"/>
      <c r="O14" s="82"/>
      <c r="P14" s="82"/>
      <c r="Q14" s="82"/>
    </row>
    <row r="15" spans="1:18" hidden="1" x14ac:dyDescent="0.35">
      <c r="A15" s="41"/>
      <c r="B15" s="42"/>
      <c r="C15" s="11"/>
      <c r="D15" s="11"/>
      <c r="E15" s="3"/>
      <c r="F15" s="18"/>
      <c r="G15" s="9"/>
      <c r="H15" s="10"/>
      <c r="I15" s="10"/>
      <c r="J15" s="76"/>
      <c r="K15" s="2" t="str">
        <f t="shared" si="0"/>
        <v>Failed!</v>
      </c>
      <c r="L15" s="53"/>
      <c r="M15" s="80"/>
      <c r="N15" s="42"/>
      <c r="O15" s="82"/>
      <c r="P15" s="82"/>
      <c r="Q15" s="82"/>
    </row>
    <row r="16" spans="1:18" hidden="1" x14ac:dyDescent="0.35">
      <c r="A16" s="41"/>
      <c r="B16" s="42"/>
      <c r="C16" s="11"/>
      <c r="D16" s="11"/>
      <c r="E16" s="3"/>
      <c r="F16" s="18"/>
      <c r="G16" s="9"/>
      <c r="H16" s="10"/>
      <c r="I16" s="10"/>
      <c r="J16" s="76"/>
      <c r="K16" s="2" t="str">
        <f t="shared" si="0"/>
        <v>Failed!</v>
      </c>
      <c r="L16" s="53"/>
      <c r="M16" s="80"/>
      <c r="N16" s="42"/>
      <c r="O16" s="82"/>
      <c r="P16" s="82"/>
      <c r="Q16" s="82"/>
    </row>
    <row r="17" spans="1:17" hidden="1" x14ac:dyDescent="0.35">
      <c r="A17" s="41"/>
      <c r="B17" s="42"/>
      <c r="C17" s="11"/>
      <c r="D17" s="11"/>
      <c r="E17" s="3"/>
      <c r="F17" s="18"/>
      <c r="G17" s="9"/>
      <c r="H17" s="10"/>
      <c r="I17" s="10"/>
      <c r="J17" s="76"/>
      <c r="K17" s="2" t="str">
        <f t="shared" si="0"/>
        <v>Failed!</v>
      </c>
      <c r="L17" s="53"/>
      <c r="M17" s="80"/>
      <c r="N17" s="42"/>
      <c r="O17" s="82"/>
      <c r="P17" s="82"/>
      <c r="Q17" s="82"/>
    </row>
    <row r="18" spans="1:17" hidden="1" x14ac:dyDescent="0.35">
      <c r="A18" s="41"/>
      <c r="B18" s="42"/>
      <c r="C18" s="11"/>
      <c r="D18" s="11"/>
      <c r="E18" s="3"/>
      <c r="F18" s="18"/>
      <c r="G18" s="9"/>
      <c r="H18" s="10"/>
      <c r="I18" s="10"/>
      <c r="J18" s="76"/>
      <c r="K18" s="2" t="str">
        <f t="shared" si="0"/>
        <v>Failed!</v>
      </c>
      <c r="L18" s="53"/>
      <c r="M18" s="80"/>
      <c r="N18" s="42"/>
      <c r="O18" s="82"/>
      <c r="P18" s="82"/>
      <c r="Q18" s="82"/>
    </row>
    <row r="19" spans="1:17" hidden="1" x14ac:dyDescent="0.35">
      <c r="A19" s="41"/>
      <c r="B19" s="42"/>
      <c r="C19" s="11"/>
      <c r="D19" s="11"/>
      <c r="E19" s="3"/>
      <c r="F19" s="18"/>
      <c r="G19" s="9"/>
      <c r="H19" s="10"/>
      <c r="I19" s="10"/>
      <c r="J19" s="76"/>
      <c r="K19" s="2" t="str">
        <f t="shared" si="0"/>
        <v>Failed!</v>
      </c>
      <c r="L19" s="53"/>
      <c r="M19" s="80"/>
      <c r="N19" s="42"/>
      <c r="O19" s="82"/>
      <c r="P19" s="82"/>
      <c r="Q19" s="82"/>
    </row>
    <row r="20" spans="1:17" hidden="1" x14ac:dyDescent="0.35">
      <c r="A20" s="41"/>
      <c r="B20" s="42"/>
      <c r="C20" s="11"/>
      <c r="D20" s="11"/>
      <c r="E20" s="3"/>
      <c r="F20" s="18"/>
      <c r="G20" s="9"/>
      <c r="H20" s="10"/>
      <c r="I20" s="10"/>
      <c r="J20" s="76"/>
      <c r="K20" s="2" t="str">
        <f t="shared" si="0"/>
        <v>Failed!</v>
      </c>
      <c r="L20" s="53"/>
      <c r="M20" s="80"/>
      <c r="N20" s="42"/>
      <c r="O20" s="82"/>
      <c r="P20" s="82"/>
      <c r="Q20" s="82"/>
    </row>
    <row r="21" spans="1:17" hidden="1" x14ac:dyDescent="0.35">
      <c r="A21" s="41"/>
      <c r="B21" s="42"/>
      <c r="C21" s="11"/>
      <c r="D21" s="11"/>
      <c r="E21" s="3"/>
      <c r="F21" s="18"/>
      <c r="G21" s="9"/>
      <c r="H21" s="10"/>
      <c r="I21" s="10"/>
      <c r="J21" s="76"/>
      <c r="K21" s="2" t="str">
        <f t="shared" si="0"/>
        <v>Failed!</v>
      </c>
      <c r="L21" s="53"/>
      <c r="M21" s="80"/>
      <c r="N21" s="42"/>
      <c r="O21" s="82"/>
      <c r="P21" s="82"/>
      <c r="Q21" s="82"/>
    </row>
    <row r="22" spans="1:17" hidden="1" x14ac:dyDescent="0.35">
      <c r="A22" s="41"/>
      <c r="B22" s="42"/>
      <c r="C22" s="11"/>
      <c r="D22" s="11"/>
      <c r="E22" s="3"/>
      <c r="F22" s="18"/>
      <c r="G22" s="9"/>
      <c r="H22" s="10"/>
      <c r="I22" s="10"/>
      <c r="J22" s="76"/>
      <c r="K22" s="2" t="str">
        <f t="shared" si="0"/>
        <v>Failed!</v>
      </c>
      <c r="L22" s="53"/>
      <c r="M22" s="80"/>
      <c r="N22" s="42"/>
      <c r="O22" s="82"/>
      <c r="P22" s="82"/>
      <c r="Q22" s="82"/>
    </row>
    <row r="23" spans="1:17" hidden="1" x14ac:dyDescent="0.35">
      <c r="A23" s="41"/>
      <c r="B23" s="42"/>
      <c r="C23" s="11"/>
      <c r="D23" s="11"/>
      <c r="E23" s="3"/>
      <c r="F23" s="18"/>
      <c r="G23" s="9"/>
      <c r="H23" s="10"/>
      <c r="I23" s="10"/>
      <c r="J23" s="76"/>
      <c r="K23" s="2" t="str">
        <f t="shared" si="0"/>
        <v>Failed!</v>
      </c>
      <c r="L23" s="53"/>
      <c r="M23" s="80"/>
      <c r="N23" s="42"/>
      <c r="O23" s="82"/>
      <c r="P23" s="82"/>
      <c r="Q23" s="82"/>
    </row>
    <row r="24" spans="1:17" hidden="1" x14ac:dyDescent="0.35">
      <c r="A24" s="41"/>
      <c r="B24" s="42"/>
      <c r="C24" s="11"/>
      <c r="D24" s="11"/>
      <c r="E24" s="3"/>
      <c r="F24" s="18"/>
      <c r="G24" s="9"/>
      <c r="H24" s="10"/>
      <c r="I24" s="10"/>
      <c r="J24" s="76"/>
      <c r="K24" s="2" t="str">
        <f t="shared" si="0"/>
        <v>Failed!</v>
      </c>
      <c r="L24" s="53"/>
      <c r="M24" s="80"/>
      <c r="N24" s="42"/>
      <c r="O24" s="82"/>
      <c r="P24" s="82"/>
      <c r="Q24" s="82"/>
    </row>
    <row r="25" spans="1:17" hidden="1" x14ac:dyDescent="0.35">
      <c r="A25" s="41"/>
      <c r="B25" s="42"/>
      <c r="C25" s="11"/>
      <c r="D25" s="11"/>
      <c r="E25" s="3"/>
      <c r="F25" s="18"/>
      <c r="G25" s="9"/>
      <c r="H25" s="10"/>
      <c r="I25" s="10"/>
      <c r="J25" s="76"/>
      <c r="K25" s="2" t="str">
        <f t="shared" si="0"/>
        <v>Failed!</v>
      </c>
      <c r="L25" s="53"/>
      <c r="M25" s="80"/>
      <c r="N25" s="42"/>
      <c r="O25" s="82"/>
      <c r="P25" s="82"/>
      <c r="Q25" s="82"/>
    </row>
    <row r="26" spans="1:17" hidden="1" x14ac:dyDescent="0.35">
      <c r="A26" s="41"/>
      <c r="B26" s="42"/>
      <c r="C26" s="11"/>
      <c r="D26" s="11"/>
      <c r="E26" s="3"/>
      <c r="F26" s="18"/>
      <c r="G26" s="9"/>
      <c r="H26" s="10"/>
      <c r="I26" s="10"/>
      <c r="J26" s="76"/>
      <c r="K26" s="2" t="str">
        <f t="shared" si="0"/>
        <v>Failed!</v>
      </c>
      <c r="L26" s="53"/>
      <c r="M26" s="80"/>
      <c r="N26" s="42"/>
      <c r="O26" s="82"/>
      <c r="P26" s="82"/>
      <c r="Q26" s="82"/>
    </row>
    <row r="27" spans="1:17" hidden="1" x14ac:dyDescent="0.35">
      <c r="A27" s="41"/>
      <c r="B27" s="42"/>
      <c r="C27" s="11"/>
      <c r="D27" s="11"/>
      <c r="E27" s="3"/>
      <c r="F27" s="18"/>
      <c r="G27" s="9"/>
      <c r="H27" s="10"/>
      <c r="I27" s="10"/>
      <c r="J27" s="76"/>
      <c r="K27" s="2" t="str">
        <f t="shared" si="0"/>
        <v>Failed!</v>
      </c>
      <c r="L27" s="53"/>
      <c r="M27" s="80"/>
      <c r="N27" s="42"/>
      <c r="O27" s="82"/>
      <c r="P27" s="82"/>
      <c r="Q27" s="82"/>
    </row>
    <row r="28" spans="1:17" hidden="1" x14ac:dyDescent="0.35">
      <c r="A28" s="41"/>
      <c r="B28" s="42"/>
      <c r="C28" s="11"/>
      <c r="D28" s="11"/>
      <c r="E28" s="3"/>
      <c r="F28" s="18"/>
      <c r="G28" s="9"/>
      <c r="H28" s="10"/>
      <c r="I28" s="10"/>
      <c r="J28" s="76"/>
      <c r="K28" s="2" t="str">
        <f t="shared" si="0"/>
        <v>Failed!</v>
      </c>
      <c r="L28" s="53"/>
      <c r="M28" s="80"/>
      <c r="N28" s="42"/>
      <c r="O28" s="82"/>
      <c r="P28" s="82"/>
      <c r="Q28" s="82"/>
    </row>
    <row r="29" spans="1:17" hidden="1" x14ac:dyDescent="0.35">
      <c r="A29" s="41"/>
      <c r="B29" s="42"/>
      <c r="C29" s="11"/>
      <c r="D29" s="11"/>
      <c r="E29" s="3"/>
      <c r="F29" s="18"/>
      <c r="G29" s="9"/>
      <c r="H29" s="10"/>
      <c r="I29" s="10"/>
      <c r="J29" s="76"/>
      <c r="K29" s="2" t="str">
        <f t="shared" si="0"/>
        <v>Failed!</v>
      </c>
      <c r="L29" s="53"/>
      <c r="M29" s="80"/>
      <c r="N29" s="42"/>
      <c r="O29" s="82"/>
      <c r="P29" s="82"/>
      <c r="Q29" s="82"/>
    </row>
    <row r="30" spans="1:17" hidden="1" x14ac:dyDescent="0.35">
      <c r="A30" s="41"/>
      <c r="B30" s="42"/>
      <c r="C30" s="11"/>
      <c r="D30" s="11"/>
      <c r="E30" s="3"/>
      <c r="F30" s="18"/>
      <c r="G30" s="9"/>
      <c r="H30" s="10"/>
      <c r="I30" s="10"/>
      <c r="J30" s="76"/>
      <c r="K30" s="2" t="str">
        <f t="shared" si="0"/>
        <v>Failed!</v>
      </c>
      <c r="L30" s="53"/>
      <c r="M30" s="80"/>
      <c r="N30" s="42"/>
      <c r="O30" s="82"/>
      <c r="P30" s="82"/>
      <c r="Q30" s="82"/>
    </row>
    <row r="31" spans="1:17" hidden="1" x14ac:dyDescent="0.35">
      <c r="A31" s="41"/>
      <c r="B31" s="42"/>
      <c r="C31" s="11"/>
      <c r="D31" s="11"/>
      <c r="E31" s="3"/>
      <c r="F31" s="18"/>
      <c r="G31" s="9"/>
      <c r="H31" s="10"/>
      <c r="I31" s="10"/>
      <c r="J31" s="76"/>
      <c r="K31" s="2" t="str">
        <f t="shared" si="0"/>
        <v>Failed!</v>
      </c>
      <c r="L31" s="53"/>
      <c r="M31" s="80"/>
      <c r="N31" s="42"/>
      <c r="O31" s="82"/>
      <c r="P31" s="82"/>
      <c r="Q31" s="82"/>
    </row>
    <row r="32" spans="1:17" hidden="1" x14ac:dyDescent="0.35">
      <c r="A32" s="41"/>
      <c r="B32" s="42"/>
      <c r="C32" s="11"/>
      <c r="D32" s="11"/>
      <c r="E32" s="3"/>
      <c r="F32" s="18"/>
      <c r="G32" s="9"/>
      <c r="H32" s="10"/>
      <c r="I32" s="10"/>
      <c r="J32" s="76"/>
      <c r="K32" s="2" t="str">
        <f t="shared" si="0"/>
        <v>Failed!</v>
      </c>
      <c r="L32" s="53"/>
      <c r="M32" s="80"/>
      <c r="N32" s="42"/>
      <c r="O32" s="82"/>
      <c r="P32" s="82"/>
      <c r="Q32" s="82"/>
    </row>
    <row r="33" spans="1:17" hidden="1" x14ac:dyDescent="0.35">
      <c r="A33" s="41"/>
      <c r="B33" s="42"/>
      <c r="C33" s="11"/>
      <c r="D33" s="11"/>
      <c r="E33" s="3"/>
      <c r="F33" s="18"/>
      <c r="G33" s="9"/>
      <c r="H33" s="10"/>
      <c r="I33" s="10"/>
      <c r="J33" s="76"/>
      <c r="K33" s="2" t="str">
        <f t="shared" si="0"/>
        <v>Failed!</v>
      </c>
      <c r="L33" s="53"/>
      <c r="M33" s="80"/>
      <c r="N33" s="42"/>
      <c r="O33" s="82"/>
      <c r="P33" s="82"/>
      <c r="Q33" s="82"/>
    </row>
    <row r="34" spans="1:17" hidden="1" x14ac:dyDescent="0.35">
      <c r="A34" s="41"/>
      <c r="B34" s="42"/>
      <c r="C34" s="11"/>
      <c r="D34" s="11"/>
      <c r="E34" s="3"/>
      <c r="F34" s="18"/>
      <c r="G34" s="9"/>
      <c r="H34" s="10"/>
      <c r="I34" s="10"/>
      <c r="J34" s="76"/>
      <c r="K34" s="2" t="str">
        <f t="shared" si="0"/>
        <v>Failed!</v>
      </c>
      <c r="L34" s="53"/>
      <c r="M34" s="80"/>
      <c r="N34" s="42"/>
      <c r="O34" s="82"/>
      <c r="P34" s="82"/>
      <c r="Q34" s="82"/>
    </row>
    <row r="35" spans="1:17" hidden="1" x14ac:dyDescent="0.35">
      <c r="A35" s="41"/>
      <c r="B35" s="42"/>
      <c r="C35" s="11"/>
      <c r="D35" s="11"/>
      <c r="E35" s="3"/>
      <c r="F35" s="18"/>
      <c r="G35" s="9"/>
      <c r="H35" s="10"/>
      <c r="I35" s="10"/>
      <c r="J35" s="76"/>
      <c r="K35" s="2" t="str">
        <f t="shared" si="0"/>
        <v>Failed!</v>
      </c>
      <c r="L35" s="53"/>
      <c r="M35" s="80"/>
      <c r="N35" s="42"/>
      <c r="O35" s="82"/>
      <c r="P35" s="82"/>
      <c r="Q35" s="82"/>
    </row>
    <row r="36" spans="1:17" hidden="1" x14ac:dyDescent="0.35">
      <c r="A36" s="41"/>
      <c r="B36" s="42"/>
      <c r="C36" s="11"/>
      <c r="D36" s="11"/>
      <c r="E36" s="3"/>
      <c r="F36" s="18"/>
      <c r="G36" s="9"/>
      <c r="H36" s="10"/>
      <c r="I36" s="10"/>
      <c r="J36" s="76"/>
      <c r="K36" s="2" t="str">
        <f t="shared" si="0"/>
        <v>Failed!</v>
      </c>
      <c r="L36" s="53"/>
      <c r="M36" s="80"/>
      <c r="N36" s="42"/>
      <c r="O36" s="82"/>
      <c r="P36" s="82"/>
      <c r="Q36" s="82"/>
    </row>
    <row r="37" spans="1:17" hidden="1" x14ac:dyDescent="0.35">
      <c r="A37" s="41"/>
      <c r="B37" s="42"/>
      <c r="C37" s="11"/>
      <c r="D37" s="11"/>
      <c r="E37" s="3"/>
      <c r="F37" s="18"/>
      <c r="G37" s="9"/>
      <c r="H37" s="10"/>
      <c r="I37" s="10"/>
      <c r="J37" s="76"/>
      <c r="K37" s="2" t="str">
        <f t="shared" si="0"/>
        <v>Failed!</v>
      </c>
      <c r="L37" s="53"/>
      <c r="M37" s="80"/>
      <c r="N37" s="42"/>
      <c r="O37" s="82"/>
      <c r="P37" s="82"/>
      <c r="Q37" s="82"/>
    </row>
    <row r="38" spans="1:17" hidden="1" x14ac:dyDescent="0.35">
      <c r="A38" s="41"/>
      <c r="B38" s="42"/>
      <c r="C38" s="11"/>
      <c r="D38" s="11"/>
      <c r="E38" s="3"/>
      <c r="F38" s="18"/>
      <c r="G38" s="9"/>
      <c r="H38" s="10"/>
      <c r="I38" s="10"/>
      <c r="J38" s="76"/>
      <c r="K38" s="2" t="str">
        <f t="shared" si="0"/>
        <v>Failed!</v>
      </c>
      <c r="L38" s="53"/>
      <c r="M38" s="80"/>
      <c r="N38" s="42"/>
      <c r="O38" s="82"/>
      <c r="P38" s="82"/>
      <c r="Q38" s="82"/>
    </row>
    <row r="39" spans="1:17" hidden="1" x14ac:dyDescent="0.35">
      <c r="A39" s="41"/>
      <c r="B39" s="42"/>
      <c r="C39" s="11"/>
      <c r="D39" s="11"/>
      <c r="E39" s="3"/>
      <c r="F39" s="18"/>
      <c r="G39" s="9"/>
      <c r="H39" s="10"/>
      <c r="I39" s="10"/>
      <c r="J39" s="76"/>
      <c r="K39" s="2" t="str">
        <f t="shared" si="0"/>
        <v>Failed!</v>
      </c>
      <c r="L39" s="53"/>
      <c r="M39" s="80"/>
      <c r="N39" s="42"/>
      <c r="O39" s="82"/>
      <c r="P39" s="82"/>
      <c r="Q39" s="82"/>
    </row>
    <row r="40" spans="1:17" hidden="1" x14ac:dyDescent="0.35">
      <c r="A40" s="41"/>
      <c r="B40" s="42"/>
      <c r="C40" s="11"/>
      <c r="D40" s="11"/>
      <c r="E40" s="3"/>
      <c r="F40" s="18"/>
      <c r="G40" s="9"/>
      <c r="H40" s="10"/>
      <c r="I40" s="10"/>
      <c r="J40" s="76"/>
      <c r="K40" s="2" t="str">
        <f t="shared" si="0"/>
        <v>Failed!</v>
      </c>
      <c r="L40" s="53"/>
      <c r="M40" s="80"/>
      <c r="N40" s="42"/>
      <c r="O40" s="82"/>
      <c r="P40" s="82"/>
      <c r="Q40" s="82"/>
    </row>
    <row r="41" spans="1:17" hidden="1" x14ac:dyDescent="0.35">
      <c r="A41" s="41"/>
      <c r="B41" s="42"/>
      <c r="C41" s="11"/>
      <c r="D41" s="11"/>
      <c r="E41" s="3"/>
      <c r="F41" s="18"/>
      <c r="G41" s="9"/>
      <c r="H41" s="10"/>
      <c r="I41" s="10"/>
      <c r="J41" s="76"/>
      <c r="K41" s="2" t="str">
        <f t="shared" si="0"/>
        <v>Failed!</v>
      </c>
      <c r="L41" s="53"/>
      <c r="M41" s="80"/>
      <c r="N41" s="42"/>
      <c r="O41" s="82"/>
      <c r="P41" s="82"/>
      <c r="Q41" s="82"/>
    </row>
    <row r="42" spans="1:17" hidden="1" x14ac:dyDescent="0.35">
      <c r="A42" s="41"/>
      <c r="B42" s="42"/>
      <c r="C42" s="11"/>
      <c r="D42" s="11"/>
      <c r="E42" s="3"/>
      <c r="F42" s="18"/>
      <c r="G42" s="9"/>
      <c r="H42" s="10"/>
      <c r="I42" s="10"/>
      <c r="J42" s="76"/>
      <c r="K42" s="2" t="str">
        <f t="shared" si="0"/>
        <v>Failed!</v>
      </c>
      <c r="L42" s="53"/>
      <c r="M42" s="80"/>
      <c r="N42" s="42"/>
      <c r="O42" s="82"/>
      <c r="P42" s="82"/>
      <c r="Q42" s="82"/>
    </row>
    <row r="43" spans="1:17" hidden="1" x14ac:dyDescent="0.35">
      <c r="A43" s="41"/>
      <c r="B43" s="42"/>
      <c r="C43" s="11"/>
      <c r="D43" s="11"/>
      <c r="E43" s="3"/>
      <c r="F43" s="18"/>
      <c r="G43" s="9"/>
      <c r="H43" s="10"/>
      <c r="I43" s="10"/>
      <c r="J43" s="76"/>
      <c r="K43" s="2" t="str">
        <f t="shared" si="0"/>
        <v>Failed!</v>
      </c>
      <c r="L43" s="53"/>
      <c r="M43" s="80"/>
      <c r="N43" s="42"/>
      <c r="O43" s="82"/>
      <c r="P43" s="82"/>
      <c r="Q43" s="82"/>
    </row>
    <row r="44" spans="1:17" hidden="1" x14ac:dyDescent="0.35">
      <c r="A44" s="41"/>
      <c r="B44" s="42"/>
      <c r="C44" s="11"/>
      <c r="D44" s="11"/>
      <c r="E44" s="3"/>
      <c r="F44" s="18"/>
      <c r="G44" s="9"/>
      <c r="H44" s="10"/>
      <c r="I44" s="10"/>
      <c r="J44" s="76"/>
      <c r="K44" s="2" t="str">
        <f t="shared" si="0"/>
        <v>Failed!</v>
      </c>
      <c r="L44" s="53"/>
      <c r="M44" s="80"/>
      <c r="N44" s="42"/>
      <c r="O44" s="82"/>
      <c r="P44" s="82"/>
      <c r="Q44" s="82"/>
    </row>
    <row r="45" spans="1:17" hidden="1" x14ac:dyDescent="0.35">
      <c r="A45" s="41"/>
      <c r="B45" s="42"/>
      <c r="C45" s="11"/>
      <c r="D45" s="11"/>
      <c r="E45" s="3"/>
      <c r="F45" s="18"/>
      <c r="G45" s="9"/>
      <c r="H45" s="10"/>
      <c r="I45" s="10"/>
      <c r="J45" s="76"/>
      <c r="K45" s="2" t="str">
        <f t="shared" si="0"/>
        <v>Failed!</v>
      </c>
      <c r="L45" s="53"/>
      <c r="M45" s="80"/>
      <c r="N45" s="42"/>
      <c r="O45" s="82"/>
      <c r="P45" s="82"/>
      <c r="Q45" s="82"/>
    </row>
    <row r="46" spans="1:17" hidden="1" x14ac:dyDescent="0.35">
      <c r="A46" s="41"/>
      <c r="B46" s="42"/>
      <c r="C46" s="11"/>
      <c r="D46" s="11"/>
      <c r="E46" s="3"/>
      <c r="F46" s="18"/>
      <c r="G46" s="9"/>
      <c r="H46" s="10"/>
      <c r="I46" s="10"/>
      <c r="J46" s="76"/>
      <c r="K46" s="2" t="str">
        <f t="shared" si="0"/>
        <v>Failed!</v>
      </c>
      <c r="L46" s="53"/>
      <c r="M46" s="80"/>
      <c r="N46" s="42"/>
      <c r="O46" s="82"/>
      <c r="P46" s="82"/>
      <c r="Q46" s="82"/>
    </row>
    <row r="47" spans="1:17" hidden="1" x14ac:dyDescent="0.35">
      <c r="A47" s="41"/>
      <c r="B47" s="42"/>
      <c r="C47" s="11"/>
      <c r="D47" s="11"/>
      <c r="E47" s="3"/>
      <c r="F47" s="18"/>
      <c r="G47" s="9"/>
      <c r="H47" s="10"/>
      <c r="I47" s="10"/>
      <c r="J47" s="76"/>
      <c r="K47" s="2" t="str">
        <f t="shared" si="0"/>
        <v>Failed!</v>
      </c>
      <c r="L47" s="53"/>
      <c r="M47" s="80"/>
      <c r="N47" s="42"/>
      <c r="O47" s="82"/>
      <c r="P47" s="82"/>
      <c r="Q47" s="82"/>
    </row>
    <row r="48" spans="1:17" hidden="1" x14ac:dyDescent="0.35">
      <c r="A48" s="41"/>
      <c r="B48" s="42"/>
      <c r="C48" s="11"/>
      <c r="D48" s="11"/>
      <c r="E48" s="3"/>
      <c r="F48" s="18"/>
      <c r="G48" s="9"/>
      <c r="H48" s="10"/>
      <c r="I48" s="10"/>
      <c r="J48" s="76"/>
      <c r="K48" s="2" t="str">
        <f t="shared" si="0"/>
        <v>Failed!</v>
      </c>
      <c r="L48" s="53"/>
      <c r="M48" s="80"/>
      <c r="N48" s="42"/>
      <c r="O48" s="82"/>
      <c r="P48" s="82"/>
      <c r="Q48" s="82"/>
    </row>
    <row r="49" spans="1:17" hidden="1" x14ac:dyDescent="0.35">
      <c r="A49" s="41"/>
      <c r="B49" s="42"/>
      <c r="C49" s="11"/>
      <c r="D49" s="11"/>
      <c r="E49" s="3"/>
      <c r="F49" s="19"/>
      <c r="G49" s="1"/>
      <c r="H49" s="12"/>
      <c r="I49" s="12"/>
      <c r="J49" s="77"/>
      <c r="K49" s="2" t="str">
        <f t="shared" si="0"/>
        <v>Failed!</v>
      </c>
      <c r="L49" s="53"/>
      <c r="M49" s="80"/>
      <c r="N49" s="42"/>
      <c r="O49" s="82"/>
      <c r="P49" s="82"/>
      <c r="Q49" s="82"/>
    </row>
    <row r="50" spans="1:17" hidden="1" x14ac:dyDescent="0.35">
      <c r="A50" s="41"/>
      <c r="B50" s="42"/>
      <c r="C50" s="11"/>
      <c r="D50" s="11"/>
      <c r="E50" s="3"/>
      <c r="F50" s="19"/>
      <c r="G50" s="1"/>
      <c r="H50" s="12"/>
      <c r="I50" s="12"/>
      <c r="J50" s="77"/>
      <c r="K50" s="2" t="str">
        <f t="shared" si="0"/>
        <v>Failed!</v>
      </c>
      <c r="L50" s="53"/>
      <c r="M50" s="80"/>
      <c r="N50" s="42"/>
      <c r="O50" s="82"/>
      <c r="P50" s="82"/>
      <c r="Q50" s="82"/>
    </row>
    <row r="51" spans="1:17" hidden="1" x14ac:dyDescent="0.35">
      <c r="A51" s="41"/>
      <c r="B51" s="42"/>
      <c r="C51" s="11"/>
      <c r="D51" s="11"/>
      <c r="E51" s="3"/>
      <c r="F51" s="19"/>
      <c r="G51" s="1"/>
      <c r="H51" s="12"/>
      <c r="I51" s="12"/>
      <c r="J51" s="77"/>
      <c r="K51" s="2" t="str">
        <f t="shared" si="0"/>
        <v>Failed!</v>
      </c>
      <c r="L51" s="53"/>
      <c r="M51" s="80"/>
      <c r="N51" s="42"/>
      <c r="O51" s="82"/>
      <c r="P51" s="82"/>
      <c r="Q51" s="82"/>
    </row>
    <row r="52" spans="1:17" hidden="1" x14ac:dyDescent="0.35">
      <c r="A52" s="41"/>
      <c r="B52" s="42"/>
      <c r="C52" s="11"/>
      <c r="D52" s="11"/>
      <c r="E52" s="3"/>
      <c r="F52" s="19"/>
      <c r="G52" s="1"/>
      <c r="H52" s="12"/>
      <c r="I52" s="12"/>
      <c r="J52" s="77"/>
      <c r="K52" s="2" t="str">
        <f t="shared" si="0"/>
        <v>Failed!</v>
      </c>
      <c r="L52" s="53"/>
      <c r="M52" s="80"/>
      <c r="N52" s="42"/>
      <c r="O52" s="82"/>
      <c r="P52" s="82"/>
      <c r="Q52" s="82"/>
    </row>
    <row r="53" spans="1:17" hidden="1" x14ac:dyDescent="0.35">
      <c r="A53" s="41"/>
      <c r="B53" s="42"/>
      <c r="C53" s="11"/>
      <c r="D53" s="11"/>
      <c r="E53" s="3"/>
      <c r="F53" s="19"/>
      <c r="G53" s="1"/>
      <c r="H53" s="12"/>
      <c r="I53" s="12"/>
      <c r="J53" s="77"/>
      <c r="K53" s="2" t="str">
        <f t="shared" si="0"/>
        <v>Failed!</v>
      </c>
      <c r="L53" s="53"/>
      <c r="M53" s="80"/>
      <c r="N53" s="42"/>
      <c r="O53" s="82"/>
      <c r="P53" s="82"/>
      <c r="Q53" s="82"/>
    </row>
    <row r="54" spans="1:17" hidden="1" x14ac:dyDescent="0.35">
      <c r="A54" s="41"/>
      <c r="B54" s="42"/>
      <c r="C54" s="11"/>
      <c r="D54" s="11"/>
      <c r="E54" s="3"/>
      <c r="F54" s="19"/>
      <c r="G54" s="1"/>
      <c r="H54" s="12"/>
      <c r="I54" s="12"/>
      <c r="J54" s="77"/>
      <c r="K54" s="2" t="str">
        <f t="shared" si="0"/>
        <v>Failed!</v>
      </c>
      <c r="L54" s="53"/>
      <c r="M54" s="80"/>
      <c r="N54" s="42"/>
      <c r="O54" s="82"/>
      <c r="P54" s="82"/>
      <c r="Q54" s="82"/>
    </row>
    <row r="55" spans="1:17" hidden="1" x14ac:dyDescent="0.35">
      <c r="A55" s="41"/>
      <c r="B55" s="42"/>
      <c r="C55" s="11"/>
      <c r="D55" s="11"/>
      <c r="E55" s="3"/>
      <c r="F55" s="19"/>
      <c r="G55" s="1"/>
      <c r="H55" s="12"/>
      <c r="I55" s="12"/>
      <c r="J55" s="77"/>
      <c r="K55" s="2" t="str">
        <f t="shared" si="0"/>
        <v>Failed!</v>
      </c>
      <c r="L55" s="53"/>
      <c r="M55" s="80"/>
      <c r="N55" s="42"/>
      <c r="O55" s="82"/>
      <c r="P55" s="82"/>
      <c r="Q55" s="82"/>
    </row>
    <row r="56" spans="1:17" hidden="1" x14ac:dyDescent="0.35">
      <c r="A56" s="41"/>
      <c r="B56" s="42"/>
      <c r="C56" s="11"/>
      <c r="D56" s="11"/>
      <c r="E56" s="3"/>
      <c r="F56" s="19"/>
      <c r="G56" s="1"/>
      <c r="H56" s="12"/>
      <c r="I56" s="12"/>
      <c r="J56" s="77"/>
      <c r="K56" s="2" t="str">
        <f t="shared" si="0"/>
        <v>Failed!</v>
      </c>
      <c r="L56" s="53"/>
      <c r="M56" s="80"/>
      <c r="N56" s="42"/>
      <c r="O56" s="82"/>
      <c r="P56" s="82"/>
      <c r="Q56" s="82"/>
    </row>
    <row r="57" spans="1:17" hidden="1" x14ac:dyDescent="0.35">
      <c r="A57" s="41"/>
      <c r="B57" s="42"/>
      <c r="C57" s="11"/>
      <c r="D57" s="11"/>
      <c r="E57" s="3"/>
      <c r="F57" s="19"/>
      <c r="G57" s="1"/>
      <c r="H57" s="12"/>
      <c r="I57" s="12"/>
      <c r="J57" s="77"/>
      <c r="K57" s="2" t="str">
        <f t="shared" si="0"/>
        <v>Failed!</v>
      </c>
      <c r="L57" s="53"/>
      <c r="M57" s="80"/>
      <c r="N57" s="42"/>
      <c r="O57" s="82"/>
      <c r="P57" s="82"/>
      <c r="Q57" s="82"/>
    </row>
    <row r="58" spans="1:17" hidden="1" x14ac:dyDescent="0.35">
      <c r="A58" s="41"/>
      <c r="B58" s="42"/>
      <c r="C58" s="11"/>
      <c r="D58" s="11"/>
      <c r="E58" s="3"/>
      <c r="F58" s="19"/>
      <c r="G58" s="1"/>
      <c r="H58" s="12"/>
      <c r="I58" s="12"/>
      <c r="J58" s="77"/>
      <c r="K58" s="2" t="str">
        <f t="shared" si="0"/>
        <v>Failed!</v>
      </c>
      <c r="L58" s="53"/>
      <c r="M58" s="80"/>
      <c r="N58" s="42"/>
      <c r="O58" s="82"/>
      <c r="P58" s="82"/>
      <c r="Q58" s="82"/>
    </row>
    <row r="59" spans="1:17" hidden="1" x14ac:dyDescent="0.35">
      <c r="A59" s="41"/>
      <c r="B59" s="42"/>
      <c r="C59" s="11"/>
      <c r="D59" s="11"/>
      <c r="E59" s="3"/>
      <c r="F59" s="18"/>
      <c r="G59" s="9"/>
      <c r="H59" s="10"/>
      <c r="I59" s="10"/>
      <c r="J59" s="76"/>
      <c r="K59" s="2" t="str">
        <f t="shared" si="0"/>
        <v>Failed!</v>
      </c>
      <c r="L59" s="53"/>
      <c r="M59" s="80"/>
      <c r="N59" s="42"/>
      <c r="O59" s="82"/>
      <c r="P59" s="82"/>
      <c r="Q59" s="82"/>
    </row>
    <row r="60" spans="1:17" hidden="1" x14ac:dyDescent="0.35">
      <c r="A60" s="41"/>
      <c r="B60" s="42"/>
      <c r="C60" s="11"/>
      <c r="D60" s="11"/>
      <c r="E60" s="3"/>
      <c r="F60" s="18"/>
      <c r="G60" s="9"/>
      <c r="H60" s="10"/>
      <c r="I60" s="10"/>
      <c r="J60" s="76"/>
      <c r="K60" s="2" t="str">
        <f t="shared" si="0"/>
        <v>Failed!</v>
      </c>
      <c r="L60" s="53"/>
      <c r="M60" s="80"/>
      <c r="N60" s="42"/>
      <c r="O60" s="82"/>
      <c r="P60" s="82"/>
      <c r="Q60" s="82"/>
    </row>
    <row r="61" spans="1:17" hidden="1" x14ac:dyDescent="0.35">
      <c r="A61" s="41"/>
      <c r="B61" s="42"/>
      <c r="C61" s="11"/>
      <c r="D61" s="11"/>
      <c r="E61" s="3"/>
      <c r="F61" s="18"/>
      <c r="G61" s="9"/>
      <c r="H61" s="10"/>
      <c r="I61" s="10"/>
      <c r="J61" s="76"/>
      <c r="K61" s="2" t="str">
        <f t="shared" si="0"/>
        <v>Failed!</v>
      </c>
      <c r="L61" s="53"/>
      <c r="M61" s="80"/>
      <c r="N61" s="42"/>
      <c r="O61" s="82"/>
      <c r="P61" s="82"/>
      <c r="Q61" s="82"/>
    </row>
    <row r="62" spans="1:17" hidden="1" x14ac:dyDescent="0.35">
      <c r="A62" s="41"/>
      <c r="B62" s="42"/>
      <c r="C62" s="11"/>
      <c r="D62" s="11"/>
      <c r="E62" s="3"/>
      <c r="F62" s="18"/>
      <c r="G62" s="9"/>
      <c r="H62" s="10"/>
      <c r="I62" s="10"/>
      <c r="J62" s="76"/>
      <c r="K62" s="2" t="str">
        <f t="shared" si="0"/>
        <v>Failed!</v>
      </c>
      <c r="L62" s="53"/>
      <c r="M62" s="80"/>
      <c r="N62" s="42"/>
      <c r="O62" s="82"/>
      <c r="P62" s="82"/>
      <c r="Q62" s="82"/>
    </row>
    <row r="63" spans="1:17" hidden="1" x14ac:dyDescent="0.35">
      <c r="A63" s="41"/>
      <c r="B63" s="42"/>
      <c r="C63" s="11"/>
      <c r="D63" s="11"/>
      <c r="E63" s="3"/>
      <c r="F63" s="18"/>
      <c r="G63" s="9"/>
      <c r="H63" s="10"/>
      <c r="I63" s="10"/>
      <c r="J63" s="76"/>
      <c r="K63" s="2" t="str">
        <f t="shared" si="0"/>
        <v>Failed!</v>
      </c>
      <c r="L63" s="53"/>
      <c r="M63" s="80"/>
      <c r="N63" s="42"/>
      <c r="O63" s="82"/>
      <c r="P63" s="82"/>
      <c r="Q63" s="82"/>
    </row>
    <row r="64" spans="1:17" hidden="1" x14ac:dyDescent="0.35">
      <c r="A64" s="41"/>
      <c r="B64" s="42"/>
      <c r="C64" s="11"/>
      <c r="D64" s="11"/>
      <c r="E64" s="3"/>
      <c r="F64" s="18"/>
      <c r="G64" s="9"/>
      <c r="H64" s="10"/>
      <c r="I64" s="10"/>
      <c r="J64" s="76"/>
      <c r="K64" s="2" t="str">
        <f t="shared" si="0"/>
        <v>Failed!</v>
      </c>
      <c r="L64" s="53"/>
      <c r="M64" s="80"/>
      <c r="N64" s="42"/>
      <c r="O64" s="82"/>
      <c r="P64" s="82"/>
      <c r="Q64" s="82"/>
    </row>
    <row r="65" spans="1:17" hidden="1" x14ac:dyDescent="0.35">
      <c r="A65" s="41"/>
      <c r="B65" s="42"/>
      <c r="C65" s="11"/>
      <c r="D65" s="11"/>
      <c r="E65" s="3"/>
      <c r="F65" s="18"/>
      <c r="G65" s="9"/>
      <c r="H65" s="10"/>
      <c r="I65" s="10"/>
      <c r="J65" s="76"/>
      <c r="K65" s="2" t="str">
        <f t="shared" si="0"/>
        <v>Failed!</v>
      </c>
      <c r="L65" s="53"/>
      <c r="M65" s="80"/>
      <c r="N65" s="42"/>
      <c r="O65" s="82"/>
      <c r="P65" s="82"/>
      <c r="Q65" s="82"/>
    </row>
    <row r="66" spans="1:17" hidden="1" x14ac:dyDescent="0.35">
      <c r="A66" s="41"/>
      <c r="B66" s="42"/>
      <c r="C66" s="11"/>
      <c r="D66" s="11"/>
      <c r="E66" s="3"/>
      <c r="F66" s="18"/>
      <c r="G66" s="9"/>
      <c r="H66" s="10"/>
      <c r="I66" s="10"/>
      <c r="J66" s="76"/>
      <c r="K66" s="2" t="str">
        <f t="shared" si="0"/>
        <v>Failed!</v>
      </c>
      <c r="L66" s="53"/>
      <c r="M66" s="80"/>
      <c r="N66" s="42"/>
      <c r="O66" s="82"/>
      <c r="P66" s="82"/>
      <c r="Q66" s="82"/>
    </row>
    <row r="67" spans="1:17" hidden="1" x14ac:dyDescent="0.35">
      <c r="A67" s="41"/>
      <c r="B67" s="42"/>
      <c r="C67" s="11"/>
      <c r="D67" s="11"/>
      <c r="E67" s="3"/>
      <c r="F67" s="18"/>
      <c r="G67" s="9"/>
      <c r="H67" s="10"/>
      <c r="I67" s="10"/>
      <c r="J67" s="76"/>
      <c r="K67" s="2" t="str">
        <f t="shared" si="0"/>
        <v>Failed!</v>
      </c>
      <c r="L67" s="53"/>
      <c r="M67" s="80"/>
      <c r="N67" s="42"/>
      <c r="O67" s="82"/>
      <c r="P67" s="82"/>
      <c r="Q67" s="82"/>
    </row>
    <row r="68" spans="1:17" hidden="1" x14ac:dyDescent="0.35">
      <c r="A68" s="41"/>
      <c r="B68" s="42"/>
      <c r="C68" s="11"/>
      <c r="D68" s="11"/>
      <c r="E68" s="3"/>
      <c r="F68" s="18"/>
      <c r="G68" s="9"/>
      <c r="H68" s="10"/>
      <c r="I68" s="10"/>
      <c r="J68" s="76"/>
      <c r="K68" s="2" t="str">
        <f t="shared" si="0"/>
        <v>Failed!</v>
      </c>
      <c r="L68" s="53"/>
      <c r="M68" s="80"/>
      <c r="N68" s="42"/>
      <c r="O68" s="82"/>
      <c r="P68" s="82"/>
      <c r="Q68" s="82"/>
    </row>
    <row r="69" spans="1:17" hidden="1" x14ac:dyDescent="0.35">
      <c r="A69" s="41"/>
      <c r="B69" s="42"/>
      <c r="C69" s="11"/>
      <c r="D69" s="11"/>
      <c r="E69" s="3"/>
      <c r="F69" s="18"/>
      <c r="G69" s="9"/>
      <c r="H69" s="10"/>
      <c r="I69" s="10"/>
      <c r="J69" s="76"/>
      <c r="K69" s="2" t="str">
        <f t="shared" si="0"/>
        <v>Failed!</v>
      </c>
      <c r="L69" s="53"/>
      <c r="M69" s="80"/>
      <c r="N69" s="42"/>
      <c r="O69" s="82"/>
      <c r="P69" s="82"/>
      <c r="Q69" s="82"/>
    </row>
    <row r="70" spans="1:17" hidden="1" x14ac:dyDescent="0.35">
      <c r="A70" s="41"/>
      <c r="B70" s="42"/>
      <c r="C70" s="11"/>
      <c r="D70" s="11"/>
      <c r="E70" s="3"/>
      <c r="F70" s="18"/>
      <c r="G70" s="9"/>
      <c r="H70" s="10"/>
      <c r="I70" s="10"/>
      <c r="J70" s="76"/>
      <c r="K70" s="2" t="str">
        <f t="shared" si="0"/>
        <v>Failed!</v>
      </c>
      <c r="L70" s="53"/>
      <c r="M70" s="80"/>
      <c r="N70" s="42"/>
      <c r="O70" s="82"/>
      <c r="P70" s="82"/>
      <c r="Q70" s="82"/>
    </row>
    <row r="71" spans="1:17" hidden="1" x14ac:dyDescent="0.35">
      <c r="A71" s="41"/>
      <c r="B71" s="42"/>
      <c r="C71" s="11"/>
      <c r="D71" s="11"/>
      <c r="E71" s="3"/>
      <c r="F71" s="18"/>
      <c r="G71" s="9"/>
      <c r="H71" s="10"/>
      <c r="I71" s="10"/>
      <c r="J71" s="76"/>
      <c r="K71" s="2" t="str">
        <f t="shared" si="0"/>
        <v>Failed!</v>
      </c>
      <c r="L71" s="53"/>
      <c r="M71" s="80"/>
      <c r="N71" s="42"/>
      <c r="O71" s="82"/>
      <c r="P71" s="82"/>
      <c r="Q71" s="82"/>
    </row>
    <row r="72" spans="1:17" hidden="1" x14ac:dyDescent="0.35">
      <c r="A72" s="41"/>
      <c r="B72" s="42"/>
      <c r="C72" s="11"/>
      <c r="D72" s="11"/>
      <c r="E72" s="3"/>
      <c r="F72" s="18"/>
      <c r="G72" s="9"/>
      <c r="H72" s="10"/>
      <c r="I72" s="10"/>
      <c r="J72" s="76"/>
      <c r="K72" s="2" t="str">
        <f t="shared" si="0"/>
        <v>Failed!</v>
      </c>
      <c r="L72" s="53"/>
      <c r="M72" s="80"/>
      <c r="N72" s="42"/>
      <c r="O72" s="82"/>
      <c r="P72" s="82"/>
      <c r="Q72" s="82"/>
    </row>
    <row r="73" spans="1:17" hidden="1" x14ac:dyDescent="0.35">
      <c r="A73" s="41"/>
      <c r="B73" s="42"/>
      <c r="C73" s="11"/>
      <c r="D73" s="11"/>
      <c r="E73" s="3"/>
      <c r="F73" s="18"/>
      <c r="G73" s="9"/>
      <c r="H73" s="10"/>
      <c r="I73" s="10"/>
      <c r="J73" s="76"/>
      <c r="K73" s="2" t="str">
        <f t="shared" si="0"/>
        <v>Failed!</v>
      </c>
      <c r="L73" s="53"/>
      <c r="M73" s="80"/>
      <c r="N73" s="42"/>
      <c r="O73" s="82"/>
      <c r="P73" s="82"/>
      <c r="Q73" s="82"/>
    </row>
    <row r="74" spans="1:17" hidden="1" x14ac:dyDescent="0.35">
      <c r="A74" s="41"/>
      <c r="B74" s="42"/>
      <c r="C74" s="11"/>
      <c r="D74" s="11"/>
      <c r="E74" s="3"/>
      <c r="F74" s="18"/>
      <c r="G74" s="9"/>
      <c r="H74" s="10"/>
      <c r="I74" s="10"/>
      <c r="J74" s="76"/>
      <c r="K74" s="2" t="str">
        <f t="shared" ref="K74:K88" si="1">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1"/>
        <v>Failed!</v>
      </c>
      <c r="L75" s="53"/>
      <c r="M75" s="80"/>
      <c r="N75" s="42"/>
      <c r="O75" s="82"/>
      <c r="P75" s="82"/>
      <c r="Q75" s="82"/>
    </row>
    <row r="76" spans="1:17" hidden="1" x14ac:dyDescent="0.35">
      <c r="A76" s="41"/>
      <c r="B76" s="42"/>
      <c r="C76" s="11"/>
      <c r="D76" s="11"/>
      <c r="E76" s="3"/>
      <c r="F76" s="18"/>
      <c r="G76" s="9"/>
      <c r="H76" s="10"/>
      <c r="I76" s="10"/>
      <c r="J76" s="76"/>
      <c r="K76" s="2" t="str">
        <f t="shared" si="1"/>
        <v>Failed!</v>
      </c>
      <c r="L76" s="53"/>
      <c r="M76" s="80"/>
      <c r="N76" s="42"/>
      <c r="O76" s="82"/>
      <c r="P76" s="82"/>
      <c r="Q76" s="82"/>
    </row>
    <row r="77" spans="1:17" hidden="1" x14ac:dyDescent="0.35">
      <c r="A77" s="41"/>
      <c r="B77" s="42"/>
      <c r="C77" s="11"/>
      <c r="D77" s="11"/>
      <c r="E77" s="3"/>
      <c r="F77" s="18"/>
      <c r="G77" s="9"/>
      <c r="H77" s="10"/>
      <c r="I77" s="10"/>
      <c r="J77" s="76"/>
      <c r="K77" s="2" t="str">
        <f t="shared" si="1"/>
        <v>Failed!</v>
      </c>
      <c r="L77" s="53"/>
      <c r="M77" s="80"/>
      <c r="N77" s="42"/>
      <c r="O77" s="82"/>
      <c r="P77" s="82"/>
      <c r="Q77" s="82"/>
    </row>
    <row r="78" spans="1:17" hidden="1" x14ac:dyDescent="0.35">
      <c r="A78" s="41"/>
      <c r="B78" s="42"/>
      <c r="C78" s="11"/>
      <c r="D78" s="11"/>
      <c r="E78" s="3"/>
      <c r="F78" s="18"/>
      <c r="G78" s="9"/>
      <c r="H78" s="10"/>
      <c r="I78" s="10"/>
      <c r="J78" s="76"/>
      <c r="K78" s="2" t="str">
        <f t="shared" si="1"/>
        <v>Failed!</v>
      </c>
      <c r="L78" s="53"/>
      <c r="M78" s="80"/>
      <c r="N78" s="42"/>
      <c r="O78" s="82"/>
      <c r="P78" s="82"/>
      <c r="Q78" s="82"/>
    </row>
    <row r="79" spans="1:17" hidden="1" x14ac:dyDescent="0.35">
      <c r="A79" s="41"/>
      <c r="B79" s="42"/>
      <c r="C79" s="11"/>
      <c r="D79" s="11"/>
      <c r="E79" s="3"/>
      <c r="F79" s="18"/>
      <c r="G79" s="9"/>
      <c r="H79" s="10"/>
      <c r="I79" s="10"/>
      <c r="J79" s="76"/>
      <c r="K79" s="2" t="str">
        <f t="shared" si="1"/>
        <v>Failed!</v>
      </c>
      <c r="L79" s="53"/>
      <c r="M79" s="80"/>
      <c r="N79" s="42"/>
      <c r="O79" s="82"/>
      <c r="P79" s="82"/>
      <c r="Q79" s="82"/>
    </row>
    <row r="80" spans="1:17" hidden="1" x14ac:dyDescent="0.35">
      <c r="A80" s="41"/>
      <c r="B80" s="42"/>
      <c r="C80" s="11"/>
      <c r="D80" s="11"/>
      <c r="E80" s="3"/>
      <c r="F80" s="18"/>
      <c r="G80" s="9"/>
      <c r="H80" s="10"/>
      <c r="I80" s="10"/>
      <c r="J80" s="76"/>
      <c r="K80" s="2" t="str">
        <f t="shared" si="1"/>
        <v>Failed!</v>
      </c>
      <c r="L80" s="53"/>
      <c r="M80" s="80"/>
      <c r="N80" s="42"/>
      <c r="O80" s="82"/>
      <c r="P80" s="82"/>
      <c r="Q80" s="82"/>
    </row>
    <row r="81" spans="1:17" hidden="1" x14ac:dyDescent="0.35">
      <c r="A81" s="41"/>
      <c r="B81" s="42"/>
      <c r="C81" s="11"/>
      <c r="D81" s="11"/>
      <c r="E81" s="3"/>
      <c r="F81" s="18"/>
      <c r="G81" s="9"/>
      <c r="H81" s="10"/>
      <c r="I81" s="10"/>
      <c r="J81" s="76"/>
      <c r="K81" s="2" t="str">
        <f t="shared" si="1"/>
        <v>Failed!</v>
      </c>
      <c r="L81" s="53"/>
      <c r="M81" s="80"/>
      <c r="N81" s="42"/>
      <c r="O81" s="82"/>
      <c r="P81" s="82"/>
      <c r="Q81" s="82"/>
    </row>
    <row r="82" spans="1:17" hidden="1" x14ac:dyDescent="0.35">
      <c r="A82" s="41"/>
      <c r="B82" s="42"/>
      <c r="C82" s="11"/>
      <c r="D82" s="11"/>
      <c r="E82" s="3"/>
      <c r="F82" s="18"/>
      <c r="G82" s="9"/>
      <c r="H82" s="10"/>
      <c r="I82" s="10"/>
      <c r="J82" s="76"/>
      <c r="K82" s="2" t="str">
        <f t="shared" si="1"/>
        <v>Failed!</v>
      </c>
      <c r="L82" s="53"/>
      <c r="M82" s="80"/>
      <c r="N82" s="42"/>
      <c r="O82" s="82"/>
      <c r="P82" s="82"/>
      <c r="Q82" s="82"/>
    </row>
    <row r="83" spans="1:17" hidden="1" x14ac:dyDescent="0.35">
      <c r="A83" s="41"/>
      <c r="B83" s="42"/>
      <c r="C83" s="11"/>
      <c r="D83" s="11"/>
      <c r="E83" s="3"/>
      <c r="F83" s="18"/>
      <c r="G83" s="9"/>
      <c r="H83" s="10"/>
      <c r="I83" s="10"/>
      <c r="J83" s="76"/>
      <c r="K83" s="2" t="str">
        <f t="shared" si="1"/>
        <v>Failed!</v>
      </c>
      <c r="L83" s="53"/>
      <c r="M83" s="80"/>
      <c r="N83" s="42"/>
      <c r="O83" s="82"/>
      <c r="P83" s="82"/>
      <c r="Q83" s="82"/>
    </row>
    <row r="84" spans="1:17" hidden="1" x14ac:dyDescent="0.35">
      <c r="A84" s="41"/>
      <c r="B84" s="42"/>
      <c r="C84" s="11"/>
      <c r="D84" s="11"/>
      <c r="E84" s="3"/>
      <c r="F84" s="18"/>
      <c r="G84" s="9"/>
      <c r="H84" s="10"/>
      <c r="I84" s="10"/>
      <c r="J84" s="76"/>
      <c r="K84" s="2" t="str">
        <f t="shared" si="1"/>
        <v>Failed!</v>
      </c>
      <c r="L84" s="53"/>
      <c r="M84" s="80"/>
      <c r="N84" s="42"/>
      <c r="O84" s="82"/>
      <c r="P84" s="82"/>
      <c r="Q84" s="82"/>
    </row>
    <row r="85" spans="1:17" hidden="1" x14ac:dyDescent="0.35">
      <c r="A85" s="41"/>
      <c r="B85" s="42"/>
      <c r="C85" s="11"/>
      <c r="D85" s="11"/>
      <c r="E85" s="3"/>
      <c r="F85" s="18"/>
      <c r="G85" s="9"/>
      <c r="H85" s="10"/>
      <c r="I85" s="10"/>
      <c r="J85" s="76"/>
      <c r="K85" s="2" t="str">
        <f t="shared" si="1"/>
        <v>Failed!</v>
      </c>
      <c r="L85" s="53"/>
      <c r="M85" s="80"/>
      <c r="N85" s="42"/>
      <c r="O85" s="82"/>
      <c r="P85" s="82"/>
      <c r="Q85" s="82"/>
    </row>
    <row r="86" spans="1:17" hidden="1" x14ac:dyDescent="0.35">
      <c r="A86" s="41"/>
      <c r="B86" s="42"/>
      <c r="C86" s="11"/>
      <c r="D86" s="11"/>
      <c r="E86" s="3"/>
      <c r="F86" s="18"/>
      <c r="G86" s="9"/>
      <c r="H86" s="10"/>
      <c r="I86" s="10"/>
      <c r="J86" s="76"/>
      <c r="K86" s="2" t="str">
        <f t="shared" si="1"/>
        <v>Failed!</v>
      </c>
      <c r="L86" s="53"/>
      <c r="M86" s="80"/>
      <c r="N86" s="42"/>
      <c r="O86" s="82"/>
      <c r="P86" s="82"/>
      <c r="Q86" s="82"/>
    </row>
    <row r="87" spans="1:17" hidden="1" x14ac:dyDescent="0.35">
      <c r="A87" s="41"/>
      <c r="B87" s="42"/>
      <c r="C87" s="11"/>
      <c r="D87" s="11"/>
      <c r="E87" s="3"/>
      <c r="F87" s="18"/>
      <c r="G87" s="9"/>
      <c r="H87" s="10"/>
      <c r="I87" s="10"/>
      <c r="J87" s="76"/>
      <c r="K87" s="2" t="str">
        <f t="shared" si="1"/>
        <v>Failed!</v>
      </c>
      <c r="L87" s="53"/>
      <c r="M87" s="80"/>
      <c r="N87" s="42"/>
      <c r="O87" s="82"/>
      <c r="P87" s="82"/>
      <c r="Q87" s="82"/>
    </row>
    <row r="88" spans="1:17" hidden="1" x14ac:dyDescent="0.35">
      <c r="A88" s="41"/>
      <c r="B88" s="42"/>
      <c r="C88" s="11"/>
      <c r="D88" s="11"/>
      <c r="E88" s="3"/>
      <c r="F88" s="18"/>
      <c r="G88" s="9"/>
      <c r="H88" s="10"/>
      <c r="I88" s="10"/>
      <c r="J88" s="76"/>
      <c r="K88" s="2" t="str">
        <f t="shared" si="1"/>
        <v>Failed!</v>
      </c>
      <c r="L88" s="53"/>
      <c r="M88" s="80"/>
      <c r="N88" s="42"/>
      <c r="O88" s="82"/>
      <c r="P88" s="82"/>
      <c r="Q88" s="82"/>
    </row>
    <row r="89" spans="1:17" x14ac:dyDescent="0.35">
      <c r="M89" s="4"/>
    </row>
    <row r="90" spans="1:17" x14ac:dyDescent="0.35">
      <c r="F90" s="4">
        <f>COUNTA(F10:F88)</f>
        <v>4</v>
      </c>
      <c r="G90" s="2" t="s">
        <v>14</v>
      </c>
      <c r="H90" s="40">
        <f>MAX(H10:H88)</f>
        <v>92.5</v>
      </c>
      <c r="I90" s="40">
        <f>MAX(I10:I88)</f>
        <v>0</v>
      </c>
      <c r="J90" s="40">
        <f>MAX(L10:L88)</f>
        <v>92.5</v>
      </c>
      <c r="M90" s="4"/>
    </row>
    <row r="91" spans="1:17" x14ac:dyDescent="0.35">
      <c r="G91" s="2" t="s">
        <v>12</v>
      </c>
      <c r="H91" s="40">
        <f>AVERAGE(H10:H88)</f>
        <v>79.157499999999999</v>
      </c>
      <c r="I91" s="40" t="e">
        <f>AVERAGE(I10:I88)</f>
        <v>#DIV/0!</v>
      </c>
      <c r="J91" s="40">
        <f>AVERAGE(L10:L88)</f>
        <v>79.157499999999999</v>
      </c>
      <c r="M91" s="4"/>
    </row>
    <row r="92" spans="1:17" x14ac:dyDescent="0.35">
      <c r="G92" s="2" t="s">
        <v>15</v>
      </c>
      <c r="H92" s="40">
        <f>MIN(H10:H88)</f>
        <v>70.510000000000005</v>
      </c>
      <c r="I92" s="40">
        <f>MIN(I10:I88)</f>
        <v>0</v>
      </c>
      <c r="J92" s="40">
        <f>MIN(L10:L88)</f>
        <v>70.510000000000005</v>
      </c>
      <c r="M92" s="4"/>
    </row>
    <row r="93" spans="1:17" x14ac:dyDescent="0.35">
      <c r="G93" s="2" t="s">
        <v>13</v>
      </c>
      <c r="H93" s="40">
        <f>STDEV(H10:H88)</f>
        <v>9.8275645507928111</v>
      </c>
      <c r="I93" s="40" t="e">
        <f>STDEV(I10:I88)</f>
        <v>#DIV/0!</v>
      </c>
      <c r="J93" s="40">
        <f>STDEV(L10:L88)</f>
        <v>9.8275645507928111</v>
      </c>
      <c r="M93" s="4"/>
    </row>
    <row r="94" spans="1:17" x14ac:dyDescent="0.35">
      <c r="G94" s="2" t="str">
        <f>"Failed count ( &lt; " &amp; K6 &amp; " )"</f>
        <v>Failed count ( &lt; 40 )</v>
      </c>
      <c r="H94" s="50">
        <f>COUNTIF(H10:H88, "&lt;40")</f>
        <v>0</v>
      </c>
      <c r="I94" s="50">
        <f>COUNTIF(I10:I88, "&lt;40")</f>
        <v>0</v>
      </c>
      <c r="J94" s="50">
        <f>COUNTIF(L10:L88, "&lt;40")</f>
        <v>0</v>
      </c>
      <c r="M94" s="4"/>
    </row>
    <row r="95" spans="1:17" x14ac:dyDescent="0.35">
      <c r="G95" s="2" t="s">
        <v>16</v>
      </c>
      <c r="H95" s="49">
        <f>1-H94/$F90</f>
        <v>1</v>
      </c>
      <c r="I95" s="49">
        <f>1-I94/$F90</f>
        <v>1</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66" priority="1" operator="lessThan">
      <formula>$K$6</formula>
    </cfRule>
  </conditionalFormatting>
  <conditionalFormatting sqref="F10:I88">
    <cfRule type="expression" dxfId="65" priority="2" stopIfTrue="1">
      <formula>F10=A10</formula>
    </cfRule>
    <cfRule type="expression" dxfId="64" priority="3" stopIfTrue="1">
      <formula>F10&lt;&gt;A10</formula>
    </cfRule>
  </conditionalFormatting>
  <conditionalFormatting sqref="M10:Q13">
    <cfRule type="expression" dxfId="63" priority="4" stopIfTrue="1">
      <formula>M10=F10</formula>
    </cfRule>
    <cfRule type="expression" dxfId="6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0658"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0659"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R109"/>
  <sheetViews>
    <sheetView zoomScaleNormal="100" workbookViewId="0">
      <pane xSplit="1" ySplit="9" topLeftCell="K10" activePane="bottomRight" state="frozen"/>
      <selection activeCell="E16" sqref="E16"/>
      <selection pane="topRight" activeCell="E16" sqref="E16"/>
      <selection pane="bottomLeft" activeCell="E16" sqref="E16"/>
      <selection pane="bottomRight" activeCell="N6" sqref="N6"/>
    </sheetView>
  </sheetViews>
  <sheetFormatPr defaultColWidth="9.1796875" defaultRowHeight="14.5" x14ac:dyDescent="0.35"/>
  <cols>
    <col min="1" max="1" width="14.81640625" style="2" customWidth="1"/>
    <col min="2" max="2" width="33.7265625" style="2" customWidth="1"/>
    <col min="3" max="4" width="9.1796875" style="2"/>
    <col min="5" max="5" width="9.1796875" style="2" customWidth="1"/>
    <col min="6" max="6" width="14.7265625" style="4" customWidth="1"/>
    <col min="7" max="7" width="33.7265625" style="2" customWidth="1"/>
    <col min="8" max="10" width="9.1796875" style="40" customWidth="1"/>
    <col min="11" max="11" width="12.7265625" style="2" customWidth="1"/>
    <col min="12" max="12" width="9.1796875" style="2" customWidth="1"/>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60</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83</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84</v>
      </c>
      <c r="C5" s="14"/>
      <c r="D5" s="16"/>
      <c r="F5" s="59" t="s">
        <v>38</v>
      </c>
      <c r="L5" s="52"/>
      <c r="M5" s="47" t="s">
        <v>49</v>
      </c>
    </row>
    <row r="6" spans="1:18" x14ac:dyDescent="0.35">
      <c r="A6" s="20" t="s">
        <v>37</v>
      </c>
      <c r="B6" s="13" t="s">
        <v>68</v>
      </c>
      <c r="C6" s="14"/>
      <c r="D6" s="16"/>
      <c r="F6" s="59" t="s">
        <v>54</v>
      </c>
      <c r="J6" s="70">
        <v>35</v>
      </c>
      <c r="K6" s="70">
        <v>40</v>
      </c>
      <c r="L6" s="52"/>
      <c r="N6" s="51" t="str">
        <f>"int210CT.pdf"</f>
        <v>int210CT.pdf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11606709</v>
      </c>
      <c r="B10" s="42" t="s">
        <v>85</v>
      </c>
      <c r="C10" s="11">
        <v>73.400000000000006</v>
      </c>
      <c r="D10" s="11">
        <v>67</v>
      </c>
      <c r="E10" s="3"/>
      <c r="F10" s="18">
        <v>11606709</v>
      </c>
      <c r="G10" s="9" t="s">
        <v>301</v>
      </c>
      <c r="H10" s="10">
        <v>73.400000000000006</v>
      </c>
      <c r="I10" s="10">
        <v>67</v>
      </c>
      <c r="J10" s="76">
        <v>70.2</v>
      </c>
      <c r="K10" s="2" t="s">
        <v>398</v>
      </c>
      <c r="L10" s="53">
        <v>70.2</v>
      </c>
      <c r="M10" s="80">
        <v>11606709</v>
      </c>
      <c r="N10" s="42" t="s">
        <v>407</v>
      </c>
      <c r="O10" s="82">
        <v>73.400000000000006</v>
      </c>
      <c r="P10" s="82">
        <v>67</v>
      </c>
      <c r="Q10" s="82">
        <v>70.2</v>
      </c>
      <c r="R10" s="84">
        <f t="shared" ref="R10:R41" si="0">ROUND(Q10 - ABS(J10), 2)</f>
        <v>0</v>
      </c>
    </row>
    <row r="11" spans="1:18" x14ac:dyDescent="0.35">
      <c r="A11" s="41">
        <v>11606732</v>
      </c>
      <c r="B11" s="43" t="s">
        <v>86</v>
      </c>
      <c r="C11" s="11">
        <v>82.8</v>
      </c>
      <c r="D11" s="11">
        <v>78</v>
      </c>
      <c r="E11" s="3"/>
      <c r="F11" s="18">
        <v>11606732</v>
      </c>
      <c r="G11" s="9" t="s">
        <v>251</v>
      </c>
      <c r="H11" s="10">
        <v>82.8</v>
      </c>
      <c r="I11" s="10">
        <v>78</v>
      </c>
      <c r="J11" s="76">
        <v>80.400000000000006</v>
      </c>
      <c r="K11" s="2" t="s">
        <v>398</v>
      </c>
      <c r="L11" s="53">
        <v>80.400000000000006</v>
      </c>
      <c r="M11" s="80">
        <v>11606732</v>
      </c>
      <c r="N11" s="42" t="s">
        <v>251</v>
      </c>
      <c r="O11" s="82">
        <v>82.8</v>
      </c>
      <c r="P11" s="82">
        <v>78</v>
      </c>
      <c r="Q11" s="82">
        <v>80.400000000000006</v>
      </c>
      <c r="R11" s="84">
        <f t="shared" si="0"/>
        <v>0</v>
      </c>
    </row>
    <row r="12" spans="1:18" x14ac:dyDescent="0.35">
      <c r="A12" s="41">
        <v>11606743</v>
      </c>
      <c r="B12" s="42" t="s">
        <v>87</v>
      </c>
      <c r="C12" s="11">
        <v>83.8</v>
      </c>
      <c r="D12" s="11">
        <v>65</v>
      </c>
      <c r="E12" s="3"/>
      <c r="F12" s="18">
        <v>11606743</v>
      </c>
      <c r="G12" s="9" t="s">
        <v>252</v>
      </c>
      <c r="H12" s="10">
        <v>83.8</v>
      </c>
      <c r="I12" s="10">
        <v>65</v>
      </c>
      <c r="J12" s="76">
        <v>74.400000000000006</v>
      </c>
      <c r="K12" s="2" t="s">
        <v>398</v>
      </c>
      <c r="L12" s="53">
        <v>74.400000000000006</v>
      </c>
      <c r="M12" s="80">
        <v>11606743</v>
      </c>
      <c r="N12" s="42" t="s">
        <v>252</v>
      </c>
      <c r="O12" s="82">
        <v>83.8</v>
      </c>
      <c r="P12" s="82">
        <v>65</v>
      </c>
      <c r="Q12" s="82">
        <v>74.400000000000006</v>
      </c>
      <c r="R12" s="84">
        <f t="shared" si="0"/>
        <v>0</v>
      </c>
    </row>
    <row r="13" spans="1:18" x14ac:dyDescent="0.35">
      <c r="A13" s="41">
        <v>11606754</v>
      </c>
      <c r="B13" s="42" t="s">
        <v>88</v>
      </c>
      <c r="C13" s="11">
        <v>82.6</v>
      </c>
      <c r="D13" s="11">
        <v>86</v>
      </c>
      <c r="E13" s="3"/>
      <c r="F13" s="18">
        <v>11606754</v>
      </c>
      <c r="G13" s="9" t="s">
        <v>253</v>
      </c>
      <c r="H13" s="10">
        <v>82.6</v>
      </c>
      <c r="I13" s="10">
        <v>86</v>
      </c>
      <c r="J13" s="76">
        <v>84.3</v>
      </c>
      <c r="K13" s="2" t="s">
        <v>398</v>
      </c>
      <c r="L13" s="53">
        <v>84.3</v>
      </c>
      <c r="M13" s="80">
        <v>11606754</v>
      </c>
      <c r="N13" s="42" t="s">
        <v>253</v>
      </c>
      <c r="O13" s="82">
        <v>82.6</v>
      </c>
      <c r="P13" s="82">
        <v>86</v>
      </c>
      <c r="Q13" s="82">
        <v>84.3</v>
      </c>
      <c r="R13" s="84">
        <f t="shared" si="0"/>
        <v>0</v>
      </c>
    </row>
    <row r="14" spans="1:18" x14ac:dyDescent="0.35">
      <c r="A14" s="41">
        <v>11323932</v>
      </c>
      <c r="B14" s="42" t="s">
        <v>89</v>
      </c>
      <c r="C14" s="11">
        <v>76.8</v>
      </c>
      <c r="D14" s="11">
        <v>79</v>
      </c>
      <c r="E14" s="3"/>
      <c r="F14" s="18">
        <v>11323932</v>
      </c>
      <c r="G14" s="9" t="s">
        <v>254</v>
      </c>
      <c r="H14" s="10">
        <v>76.8</v>
      </c>
      <c r="I14" s="10">
        <v>79</v>
      </c>
      <c r="J14" s="76">
        <v>77.900000000000006</v>
      </c>
      <c r="K14" s="2" t="s">
        <v>398</v>
      </c>
      <c r="L14" s="53">
        <v>77.900000000000006</v>
      </c>
      <c r="M14" s="80">
        <v>11323932</v>
      </c>
      <c r="N14" s="42" t="s">
        <v>408</v>
      </c>
      <c r="O14" s="82">
        <v>76.8</v>
      </c>
      <c r="P14" s="82">
        <v>79</v>
      </c>
      <c r="Q14" s="82">
        <v>77.900000000000006</v>
      </c>
      <c r="R14" s="84">
        <f t="shared" si="0"/>
        <v>0</v>
      </c>
    </row>
    <row r="15" spans="1:18" x14ac:dyDescent="0.35">
      <c r="A15" s="41">
        <v>10673889</v>
      </c>
      <c r="B15" s="42" t="s">
        <v>90</v>
      </c>
      <c r="C15" s="11">
        <v>58</v>
      </c>
      <c r="D15" s="11">
        <v>80.5</v>
      </c>
      <c r="E15" s="3"/>
      <c r="F15" s="18">
        <v>10673889</v>
      </c>
      <c r="G15" s="9" t="s">
        <v>255</v>
      </c>
      <c r="H15" s="10">
        <v>58</v>
      </c>
      <c r="I15" s="10">
        <v>80.5</v>
      </c>
      <c r="J15" s="76">
        <v>69.25</v>
      </c>
      <c r="K15" s="2" t="s">
        <v>398</v>
      </c>
      <c r="L15" s="53">
        <v>69.25</v>
      </c>
      <c r="M15" s="80">
        <v>10673889</v>
      </c>
      <c r="N15" s="42" t="s">
        <v>409</v>
      </c>
      <c r="O15" s="82">
        <v>58</v>
      </c>
      <c r="P15" s="82">
        <v>80.5</v>
      </c>
      <c r="Q15" s="82">
        <v>69.25</v>
      </c>
      <c r="R15" s="84">
        <f t="shared" si="0"/>
        <v>0</v>
      </c>
    </row>
    <row r="16" spans="1:18" x14ac:dyDescent="0.35">
      <c r="A16" s="41">
        <v>11606802</v>
      </c>
      <c r="B16" s="42" t="s">
        <v>91</v>
      </c>
      <c r="C16" s="11">
        <v>72.8</v>
      </c>
      <c r="D16" s="11">
        <v>73.5</v>
      </c>
      <c r="E16" s="3"/>
      <c r="F16" s="18">
        <v>11606802</v>
      </c>
      <c r="G16" s="9" t="s">
        <v>256</v>
      </c>
      <c r="H16" s="10">
        <v>72.8</v>
      </c>
      <c r="I16" s="10">
        <v>73.5</v>
      </c>
      <c r="J16" s="76">
        <v>73.150000000000006</v>
      </c>
      <c r="K16" s="2" t="s">
        <v>398</v>
      </c>
      <c r="L16" s="53">
        <v>73.150000000000006</v>
      </c>
      <c r="M16" s="80">
        <v>11606802</v>
      </c>
      <c r="N16" s="42" t="s">
        <v>256</v>
      </c>
      <c r="O16" s="82">
        <v>72.8</v>
      </c>
      <c r="P16" s="82">
        <v>73.5</v>
      </c>
      <c r="Q16" s="82">
        <v>73.150000000000006</v>
      </c>
      <c r="R16" s="84">
        <f t="shared" si="0"/>
        <v>0</v>
      </c>
    </row>
    <row r="17" spans="1:18" x14ac:dyDescent="0.35">
      <c r="A17" s="41">
        <v>11606824</v>
      </c>
      <c r="B17" s="42" t="s">
        <v>92</v>
      </c>
      <c r="C17" s="11">
        <v>72.2</v>
      </c>
      <c r="D17" s="11">
        <v>64.5</v>
      </c>
      <c r="E17" s="3"/>
      <c r="F17" s="18">
        <v>11606824</v>
      </c>
      <c r="G17" s="9" t="s">
        <v>257</v>
      </c>
      <c r="H17" s="10">
        <v>72.2</v>
      </c>
      <c r="I17" s="10">
        <v>64.5</v>
      </c>
      <c r="J17" s="76">
        <v>68.349999999999994</v>
      </c>
      <c r="K17" s="2" t="s">
        <v>398</v>
      </c>
      <c r="L17" s="53">
        <v>68.349999999999994</v>
      </c>
      <c r="M17" s="80">
        <v>11606824</v>
      </c>
      <c r="N17" s="42" t="s">
        <v>428</v>
      </c>
      <c r="O17" s="82">
        <v>72.2</v>
      </c>
      <c r="P17" s="82">
        <v>64.5</v>
      </c>
      <c r="Q17" s="82">
        <v>68.349999999999994</v>
      </c>
      <c r="R17" s="84">
        <f t="shared" si="0"/>
        <v>0</v>
      </c>
    </row>
    <row r="18" spans="1:18" x14ac:dyDescent="0.35">
      <c r="A18" s="41">
        <v>11606835</v>
      </c>
      <c r="B18" s="42" t="s">
        <v>93</v>
      </c>
      <c r="C18" s="11">
        <v>80.8</v>
      </c>
      <c r="D18" s="11">
        <v>79</v>
      </c>
      <c r="E18" s="3"/>
      <c r="F18" s="18">
        <v>11606835</v>
      </c>
      <c r="G18" s="9" t="s">
        <v>258</v>
      </c>
      <c r="H18" s="10">
        <v>80.8</v>
      </c>
      <c r="I18" s="10">
        <v>79</v>
      </c>
      <c r="J18" s="76">
        <v>79.900000000000006</v>
      </c>
      <c r="K18" s="2" t="s">
        <v>398</v>
      </c>
      <c r="L18" s="53">
        <v>79.900000000000006</v>
      </c>
      <c r="M18" s="80">
        <v>11606835</v>
      </c>
      <c r="N18" s="42" t="s">
        <v>410</v>
      </c>
      <c r="O18" s="82">
        <v>80.8</v>
      </c>
      <c r="P18" s="82">
        <v>79</v>
      </c>
      <c r="Q18" s="82">
        <v>79.900000000000006</v>
      </c>
      <c r="R18" s="84">
        <f t="shared" si="0"/>
        <v>0</v>
      </c>
    </row>
    <row r="19" spans="1:18" x14ac:dyDescent="0.35">
      <c r="A19" s="41">
        <v>11606846</v>
      </c>
      <c r="B19" s="42" t="s">
        <v>94</v>
      </c>
      <c r="C19" s="11">
        <v>91</v>
      </c>
      <c r="D19" s="11">
        <v>91.5</v>
      </c>
      <c r="E19" s="3"/>
      <c r="F19" s="18">
        <v>11606846</v>
      </c>
      <c r="G19" s="9" t="s">
        <v>259</v>
      </c>
      <c r="H19" s="10">
        <v>91</v>
      </c>
      <c r="I19" s="10">
        <v>91.5</v>
      </c>
      <c r="J19" s="76">
        <v>91.25</v>
      </c>
      <c r="K19" s="2" t="s">
        <v>398</v>
      </c>
      <c r="L19" s="53">
        <v>91.25</v>
      </c>
      <c r="M19" s="80">
        <v>11606846</v>
      </c>
      <c r="N19" s="42" t="s">
        <v>411</v>
      </c>
      <c r="O19" s="82">
        <v>91</v>
      </c>
      <c r="P19" s="82">
        <v>91.5</v>
      </c>
      <c r="Q19" s="82">
        <v>91.25</v>
      </c>
      <c r="R19" s="84">
        <f t="shared" si="0"/>
        <v>0</v>
      </c>
    </row>
    <row r="20" spans="1:18" x14ac:dyDescent="0.35">
      <c r="A20" s="41">
        <v>10447822</v>
      </c>
      <c r="B20" s="42" t="s">
        <v>95</v>
      </c>
      <c r="C20" s="11">
        <v>85</v>
      </c>
      <c r="D20" s="11">
        <v>82.5</v>
      </c>
      <c r="E20" s="3"/>
      <c r="F20" s="18">
        <v>10447822</v>
      </c>
      <c r="G20" s="9" t="s">
        <v>260</v>
      </c>
      <c r="H20" s="10">
        <v>85</v>
      </c>
      <c r="I20" s="10">
        <v>82.5</v>
      </c>
      <c r="J20" s="76">
        <v>83.75</v>
      </c>
      <c r="K20" s="2" t="s">
        <v>398</v>
      </c>
      <c r="L20" s="53">
        <v>83.75</v>
      </c>
      <c r="M20" s="80">
        <v>10447822</v>
      </c>
      <c r="N20" s="42" t="s">
        <v>421</v>
      </c>
      <c r="O20" s="82">
        <v>85</v>
      </c>
      <c r="P20" s="82">
        <v>82.5</v>
      </c>
      <c r="Q20" s="82">
        <v>83.75</v>
      </c>
      <c r="R20" s="84">
        <f t="shared" si="0"/>
        <v>0</v>
      </c>
    </row>
    <row r="21" spans="1:18" x14ac:dyDescent="0.35">
      <c r="A21" s="41">
        <v>10673971</v>
      </c>
      <c r="B21" s="42" t="s">
        <v>96</v>
      </c>
      <c r="C21" s="11">
        <v>51.2</v>
      </c>
      <c r="D21" s="11">
        <v>42</v>
      </c>
      <c r="E21" s="3"/>
      <c r="F21" s="18">
        <v>10673971</v>
      </c>
      <c r="G21" s="9" t="s">
        <v>261</v>
      </c>
      <c r="H21" s="10">
        <v>51.2</v>
      </c>
      <c r="I21" s="10">
        <v>42</v>
      </c>
      <c r="J21" s="76">
        <v>46.6</v>
      </c>
      <c r="K21" s="2" t="s">
        <v>398</v>
      </c>
      <c r="L21" s="53">
        <v>46.6</v>
      </c>
      <c r="M21" s="80">
        <v>10673971</v>
      </c>
      <c r="N21" s="42" t="s">
        <v>425</v>
      </c>
      <c r="O21" s="82">
        <v>51.2</v>
      </c>
      <c r="P21" s="82">
        <v>42</v>
      </c>
      <c r="Q21" s="82">
        <v>46.6</v>
      </c>
      <c r="R21" s="84">
        <f t="shared" si="0"/>
        <v>0</v>
      </c>
    </row>
    <row r="22" spans="1:18" x14ac:dyDescent="0.35">
      <c r="A22" s="41">
        <v>11606857</v>
      </c>
      <c r="B22" s="42" t="s">
        <v>97</v>
      </c>
      <c r="C22" s="11">
        <v>87.4</v>
      </c>
      <c r="D22" s="11">
        <v>92</v>
      </c>
      <c r="E22" s="3"/>
      <c r="F22" s="18">
        <v>11606857</v>
      </c>
      <c r="G22" s="9" t="s">
        <v>302</v>
      </c>
      <c r="H22" s="10">
        <v>87.4</v>
      </c>
      <c r="I22" s="10">
        <v>92</v>
      </c>
      <c r="J22" s="76">
        <v>89.7</v>
      </c>
      <c r="K22" s="2" t="s">
        <v>398</v>
      </c>
      <c r="L22" s="53">
        <v>89.7</v>
      </c>
      <c r="M22" s="80">
        <v>11606857</v>
      </c>
      <c r="N22" s="42" t="s">
        <v>302</v>
      </c>
      <c r="O22" s="82">
        <v>87.4</v>
      </c>
      <c r="P22" s="82">
        <v>92</v>
      </c>
      <c r="Q22" s="82">
        <v>89.7</v>
      </c>
      <c r="R22" s="84">
        <f t="shared" si="0"/>
        <v>0</v>
      </c>
    </row>
    <row r="23" spans="1:18" x14ac:dyDescent="0.35">
      <c r="A23" s="41">
        <v>11323909</v>
      </c>
      <c r="B23" s="42" t="s">
        <v>98</v>
      </c>
      <c r="C23" s="11">
        <v>67.400000000000006</v>
      </c>
      <c r="D23" s="11">
        <v>73.5</v>
      </c>
      <c r="E23" s="3"/>
      <c r="F23" s="18">
        <v>11323909</v>
      </c>
      <c r="G23" s="9" t="s">
        <v>303</v>
      </c>
      <c r="H23" s="10">
        <v>67.400000000000006</v>
      </c>
      <c r="I23" s="10">
        <v>73.5</v>
      </c>
      <c r="J23" s="76">
        <v>70.45</v>
      </c>
      <c r="K23" s="2" t="s">
        <v>398</v>
      </c>
      <c r="L23" s="53">
        <v>70.45</v>
      </c>
      <c r="M23" s="80">
        <v>11323909</v>
      </c>
      <c r="N23" s="42" t="s">
        <v>412</v>
      </c>
      <c r="O23" s="82">
        <v>67.400000000000006</v>
      </c>
      <c r="P23" s="82">
        <v>73.5</v>
      </c>
      <c r="Q23" s="82">
        <v>70.45</v>
      </c>
      <c r="R23" s="84">
        <f t="shared" si="0"/>
        <v>0</v>
      </c>
    </row>
    <row r="24" spans="1:18" x14ac:dyDescent="0.35">
      <c r="A24" s="41">
        <v>10674451</v>
      </c>
      <c r="B24" s="42" t="s">
        <v>99</v>
      </c>
      <c r="C24" s="11">
        <v>67.2</v>
      </c>
      <c r="D24" s="11">
        <v>82.5</v>
      </c>
      <c r="E24" s="3"/>
      <c r="F24" s="18">
        <v>10674451</v>
      </c>
      <c r="G24" s="9" t="s">
        <v>262</v>
      </c>
      <c r="H24" s="10">
        <v>67.2</v>
      </c>
      <c r="I24" s="10">
        <v>82.5</v>
      </c>
      <c r="J24" s="76">
        <v>74.849999999999994</v>
      </c>
      <c r="K24" s="2" t="s">
        <v>398</v>
      </c>
      <c r="L24" s="53">
        <v>74.849999999999994</v>
      </c>
      <c r="M24" s="80">
        <v>10674451</v>
      </c>
      <c r="N24" s="42" t="s">
        <v>441</v>
      </c>
      <c r="O24" s="82">
        <v>67.2</v>
      </c>
      <c r="P24" s="82">
        <v>82.5</v>
      </c>
      <c r="Q24" s="82">
        <v>40</v>
      </c>
      <c r="R24" s="85">
        <f t="shared" si="0"/>
        <v>-34.85</v>
      </c>
    </row>
    <row r="25" spans="1:18" x14ac:dyDescent="0.35">
      <c r="A25" s="41">
        <v>11606868</v>
      </c>
      <c r="B25" s="42" t="s">
        <v>305</v>
      </c>
      <c r="C25" s="11">
        <v>74.400000000000006</v>
      </c>
      <c r="D25" s="11">
        <v>66</v>
      </c>
      <c r="E25" s="3"/>
      <c r="F25" s="18">
        <v>11606868</v>
      </c>
      <c r="G25" s="9" t="s">
        <v>304</v>
      </c>
      <c r="H25" s="10">
        <v>74.400000000000006</v>
      </c>
      <c r="I25" s="10">
        <v>66</v>
      </c>
      <c r="J25" s="76">
        <v>70.2</v>
      </c>
      <c r="K25" s="2" t="s">
        <v>398</v>
      </c>
      <c r="L25" s="53">
        <v>70.2</v>
      </c>
      <c r="M25" s="80">
        <v>11606868</v>
      </c>
      <c r="N25" s="42" t="s">
        <v>422</v>
      </c>
      <c r="O25" s="82">
        <v>74.400000000000006</v>
      </c>
      <c r="P25" s="82">
        <v>66</v>
      </c>
      <c r="Q25" s="82">
        <v>70.2</v>
      </c>
      <c r="R25" s="84">
        <f t="shared" si="0"/>
        <v>0</v>
      </c>
    </row>
    <row r="26" spans="1:18" x14ac:dyDescent="0.35">
      <c r="A26" s="41">
        <v>11323611</v>
      </c>
      <c r="B26" s="42" t="s">
        <v>149</v>
      </c>
      <c r="C26" s="11">
        <v>84.4</v>
      </c>
      <c r="D26" s="11">
        <v>83.5</v>
      </c>
      <c r="E26" s="3"/>
      <c r="F26" s="18">
        <v>11323611</v>
      </c>
      <c r="G26" s="9" t="s">
        <v>306</v>
      </c>
      <c r="H26" s="10">
        <v>84.4</v>
      </c>
      <c r="I26" s="10">
        <v>83.5</v>
      </c>
      <c r="J26" s="76">
        <v>83.95</v>
      </c>
      <c r="K26" s="2" t="s">
        <v>398</v>
      </c>
      <c r="L26" s="53">
        <v>83.95</v>
      </c>
      <c r="M26" s="80">
        <v>11323611</v>
      </c>
      <c r="N26" s="42" t="s">
        <v>413</v>
      </c>
      <c r="O26" s="82">
        <v>84.4</v>
      </c>
      <c r="P26" s="82">
        <v>83.5</v>
      </c>
      <c r="Q26" s="82">
        <v>83.95</v>
      </c>
      <c r="R26" s="84">
        <f t="shared" si="0"/>
        <v>0</v>
      </c>
    </row>
    <row r="27" spans="1:18" x14ac:dyDescent="0.35">
      <c r="A27" s="41">
        <v>11606879</v>
      </c>
      <c r="B27" s="42" t="s">
        <v>100</v>
      </c>
      <c r="C27" s="11">
        <v>85.4</v>
      </c>
      <c r="D27" s="11">
        <v>83.5</v>
      </c>
      <c r="E27" s="3"/>
      <c r="F27" s="18">
        <v>11606879</v>
      </c>
      <c r="G27" s="9" t="s">
        <v>263</v>
      </c>
      <c r="H27" s="10">
        <v>85.4</v>
      </c>
      <c r="I27" s="10">
        <v>83.5</v>
      </c>
      <c r="J27" s="76">
        <v>84.45</v>
      </c>
      <c r="K27" s="2" t="s">
        <v>398</v>
      </c>
      <c r="L27" s="53">
        <v>84.45</v>
      </c>
      <c r="M27" s="80">
        <v>11606879</v>
      </c>
      <c r="N27" s="42" t="s">
        <v>414</v>
      </c>
      <c r="O27" s="82">
        <v>85.4</v>
      </c>
      <c r="P27" s="82">
        <v>83.5</v>
      </c>
      <c r="Q27" s="82">
        <v>84.45</v>
      </c>
      <c r="R27" s="84">
        <f t="shared" si="0"/>
        <v>0</v>
      </c>
    </row>
    <row r="28" spans="1:18" x14ac:dyDescent="0.35">
      <c r="A28" s="41">
        <v>11606891</v>
      </c>
      <c r="B28" s="42" t="s">
        <v>101</v>
      </c>
      <c r="C28" s="11">
        <v>98.8</v>
      </c>
      <c r="D28" s="11">
        <v>99</v>
      </c>
      <c r="E28" s="3"/>
      <c r="F28" s="18">
        <v>11606891</v>
      </c>
      <c r="G28" s="9" t="s">
        <v>264</v>
      </c>
      <c r="H28" s="10">
        <v>98.8</v>
      </c>
      <c r="I28" s="10">
        <v>99</v>
      </c>
      <c r="J28" s="76">
        <v>98.9</v>
      </c>
      <c r="K28" s="2" t="s">
        <v>398</v>
      </c>
      <c r="L28" s="53">
        <v>98.9</v>
      </c>
      <c r="M28" s="80">
        <v>11606891</v>
      </c>
      <c r="N28" s="42" t="s">
        <v>264</v>
      </c>
      <c r="O28" s="82">
        <v>98.8</v>
      </c>
      <c r="P28" s="82">
        <v>99</v>
      </c>
      <c r="Q28" s="82">
        <v>98.9</v>
      </c>
      <c r="R28" s="84">
        <f t="shared" si="0"/>
        <v>0</v>
      </c>
    </row>
    <row r="29" spans="1:18" x14ac:dyDescent="0.35">
      <c r="A29" s="41">
        <v>11606916</v>
      </c>
      <c r="B29" s="42" t="s">
        <v>102</v>
      </c>
      <c r="C29" s="11">
        <v>79.599999999999994</v>
      </c>
      <c r="D29" s="11">
        <v>71</v>
      </c>
      <c r="E29" s="3"/>
      <c r="F29" s="18">
        <v>11606916</v>
      </c>
      <c r="G29" s="9" t="s">
        <v>265</v>
      </c>
      <c r="H29" s="10">
        <v>79.599999999999994</v>
      </c>
      <c r="I29" s="10">
        <v>71</v>
      </c>
      <c r="J29" s="76">
        <v>75.3</v>
      </c>
      <c r="K29" s="2" t="s">
        <v>398</v>
      </c>
      <c r="L29" s="53">
        <v>75.3</v>
      </c>
      <c r="M29" s="80">
        <v>11606916</v>
      </c>
      <c r="N29" s="42" t="s">
        <v>265</v>
      </c>
      <c r="O29" s="82">
        <v>79.599999999999994</v>
      </c>
      <c r="P29" s="82">
        <v>71</v>
      </c>
      <c r="Q29" s="82">
        <v>75.3</v>
      </c>
      <c r="R29" s="84">
        <f t="shared" si="0"/>
        <v>0</v>
      </c>
    </row>
    <row r="30" spans="1:18" x14ac:dyDescent="0.35">
      <c r="A30" s="41">
        <v>11323644</v>
      </c>
      <c r="B30" s="42" t="s">
        <v>103</v>
      </c>
      <c r="C30" s="11">
        <v>81.8</v>
      </c>
      <c r="D30" s="11">
        <v>77</v>
      </c>
      <c r="E30" s="3"/>
      <c r="F30" s="18">
        <v>11323644</v>
      </c>
      <c r="G30" s="9" t="s">
        <v>266</v>
      </c>
      <c r="H30" s="10">
        <v>81.8</v>
      </c>
      <c r="I30" s="10">
        <v>77</v>
      </c>
      <c r="J30" s="76">
        <v>79.400000000000006</v>
      </c>
      <c r="K30" s="2" t="s">
        <v>398</v>
      </c>
      <c r="L30" s="53">
        <v>79.400000000000006</v>
      </c>
      <c r="M30" s="80">
        <v>11323644</v>
      </c>
      <c r="N30" s="42" t="s">
        <v>415</v>
      </c>
      <c r="O30" s="82">
        <v>81.8</v>
      </c>
      <c r="P30" s="82">
        <v>77</v>
      </c>
      <c r="Q30" s="82">
        <v>79.400000000000006</v>
      </c>
      <c r="R30" s="84">
        <f t="shared" si="0"/>
        <v>0</v>
      </c>
    </row>
    <row r="31" spans="1:18" x14ac:dyDescent="0.35">
      <c r="A31" s="41">
        <v>11323677</v>
      </c>
      <c r="B31" s="42" t="s">
        <v>104</v>
      </c>
      <c r="C31" s="11">
        <v>54.8</v>
      </c>
      <c r="D31" s="11">
        <v>55</v>
      </c>
      <c r="E31" s="3"/>
      <c r="F31" s="18">
        <v>11323677</v>
      </c>
      <c r="G31" s="9" t="s">
        <v>267</v>
      </c>
      <c r="H31" s="10">
        <v>54.8</v>
      </c>
      <c r="I31" s="10">
        <v>55</v>
      </c>
      <c r="J31" s="76">
        <v>54.9</v>
      </c>
      <c r="K31" s="2" t="s">
        <v>398</v>
      </c>
      <c r="L31" s="53">
        <v>54.9</v>
      </c>
      <c r="M31" s="80">
        <v>11323677</v>
      </c>
      <c r="N31" s="42" t="s">
        <v>416</v>
      </c>
      <c r="O31" s="82">
        <v>54.8</v>
      </c>
      <c r="P31" s="82">
        <v>55</v>
      </c>
      <c r="Q31" s="82">
        <v>54.9</v>
      </c>
      <c r="R31" s="84">
        <f t="shared" si="0"/>
        <v>0</v>
      </c>
    </row>
    <row r="32" spans="1:18" x14ac:dyDescent="0.35">
      <c r="A32" s="41">
        <v>11606927</v>
      </c>
      <c r="B32" s="42" t="s">
        <v>105</v>
      </c>
      <c r="C32" s="11">
        <v>72.400000000000006</v>
      </c>
      <c r="D32" s="11">
        <v>52.5</v>
      </c>
      <c r="E32" s="3"/>
      <c r="F32" s="18">
        <v>11606927</v>
      </c>
      <c r="G32" s="9" t="s">
        <v>307</v>
      </c>
      <c r="H32" s="10">
        <v>72.400000000000006</v>
      </c>
      <c r="I32" s="10">
        <v>52.5</v>
      </c>
      <c r="J32" s="76">
        <v>62.45</v>
      </c>
      <c r="K32" s="2" t="s">
        <v>398</v>
      </c>
      <c r="L32" s="53">
        <v>62.45</v>
      </c>
      <c r="M32" s="80">
        <v>11606927</v>
      </c>
      <c r="N32" s="42" t="s">
        <v>307</v>
      </c>
      <c r="O32" s="82">
        <v>72.400000000000006</v>
      </c>
      <c r="P32" s="82">
        <v>52.5</v>
      </c>
      <c r="Q32" s="82">
        <v>62.45</v>
      </c>
      <c r="R32" s="84">
        <f t="shared" si="0"/>
        <v>0</v>
      </c>
    </row>
    <row r="33" spans="1:18" x14ac:dyDescent="0.35">
      <c r="A33" s="41">
        <v>11323688</v>
      </c>
      <c r="B33" s="42" t="s">
        <v>106</v>
      </c>
      <c r="C33" s="11">
        <v>81</v>
      </c>
      <c r="D33" s="11">
        <v>53</v>
      </c>
      <c r="E33" s="3"/>
      <c r="F33" s="18">
        <v>11323688</v>
      </c>
      <c r="G33" s="9" t="s">
        <v>268</v>
      </c>
      <c r="H33" s="10">
        <v>81</v>
      </c>
      <c r="I33" s="10">
        <v>53</v>
      </c>
      <c r="J33" s="76">
        <v>67</v>
      </c>
      <c r="K33" s="2" t="s">
        <v>398</v>
      </c>
      <c r="L33" s="53">
        <v>67</v>
      </c>
      <c r="M33" s="80">
        <v>11323688</v>
      </c>
      <c r="N33" s="42" t="s">
        <v>418</v>
      </c>
      <c r="O33" s="82">
        <v>81</v>
      </c>
      <c r="P33" s="82">
        <v>53</v>
      </c>
      <c r="Q33" s="82">
        <v>67</v>
      </c>
      <c r="R33" s="84">
        <f t="shared" si="0"/>
        <v>0</v>
      </c>
    </row>
    <row r="34" spans="1:18" x14ac:dyDescent="0.35">
      <c r="A34" s="41">
        <v>11606938</v>
      </c>
      <c r="B34" s="42" t="s">
        <v>107</v>
      </c>
      <c r="C34" s="11">
        <v>87.4</v>
      </c>
      <c r="D34" s="11">
        <v>96</v>
      </c>
      <c r="E34" s="3"/>
      <c r="F34" s="18">
        <v>11606938</v>
      </c>
      <c r="G34" s="9" t="s">
        <v>269</v>
      </c>
      <c r="H34" s="10">
        <v>87.4</v>
      </c>
      <c r="I34" s="10">
        <v>96</v>
      </c>
      <c r="J34" s="76">
        <v>91.7</v>
      </c>
      <c r="K34" s="2" t="s">
        <v>398</v>
      </c>
      <c r="L34" s="53">
        <v>91.7</v>
      </c>
      <c r="M34" s="80">
        <v>11606938</v>
      </c>
      <c r="N34" s="42" t="s">
        <v>269</v>
      </c>
      <c r="O34" s="82">
        <v>87.4</v>
      </c>
      <c r="P34" s="82">
        <v>96</v>
      </c>
      <c r="Q34" s="82">
        <v>91.7</v>
      </c>
      <c r="R34" s="84">
        <f t="shared" si="0"/>
        <v>0</v>
      </c>
    </row>
    <row r="35" spans="1:18" x14ac:dyDescent="0.35">
      <c r="A35" s="41">
        <v>11323703</v>
      </c>
      <c r="B35" s="42" t="s">
        <v>108</v>
      </c>
      <c r="C35" s="11">
        <v>83.2</v>
      </c>
      <c r="D35" s="11">
        <v>66</v>
      </c>
      <c r="E35" s="3"/>
      <c r="F35" s="18">
        <v>11323703</v>
      </c>
      <c r="G35" s="9" t="s">
        <v>270</v>
      </c>
      <c r="H35" s="10">
        <v>83.2</v>
      </c>
      <c r="I35" s="10">
        <v>66</v>
      </c>
      <c r="J35" s="76">
        <v>74.599999999999994</v>
      </c>
      <c r="K35" s="2" t="s">
        <v>398</v>
      </c>
      <c r="L35" s="53">
        <v>74.599999999999994</v>
      </c>
      <c r="M35" s="80">
        <v>11323703</v>
      </c>
      <c r="N35" s="42" t="s">
        <v>419</v>
      </c>
      <c r="O35" s="82">
        <v>83.2</v>
      </c>
      <c r="P35" s="82">
        <v>66</v>
      </c>
      <c r="Q35" s="82">
        <v>74.599999999999994</v>
      </c>
      <c r="R35" s="84">
        <f t="shared" si="0"/>
        <v>0</v>
      </c>
    </row>
    <row r="36" spans="1:18" x14ac:dyDescent="0.35">
      <c r="A36" s="41">
        <v>11606949</v>
      </c>
      <c r="B36" s="42" t="s">
        <v>109</v>
      </c>
      <c r="C36" s="11">
        <v>71.400000000000006</v>
      </c>
      <c r="D36" s="11">
        <v>35</v>
      </c>
      <c r="E36" s="3"/>
      <c r="F36" s="18">
        <v>11606949</v>
      </c>
      <c r="G36" s="9" t="s">
        <v>271</v>
      </c>
      <c r="H36" s="10">
        <v>71.400000000000006</v>
      </c>
      <c r="I36" s="10">
        <v>35</v>
      </c>
      <c r="J36" s="76">
        <v>53.2</v>
      </c>
      <c r="K36" s="2" t="s">
        <v>398</v>
      </c>
      <c r="L36" s="53">
        <v>53.2</v>
      </c>
      <c r="M36" s="80">
        <v>11606949</v>
      </c>
      <c r="N36" s="42" t="s">
        <v>271</v>
      </c>
      <c r="O36" s="82">
        <v>71.400000000000006</v>
      </c>
      <c r="P36" s="82">
        <v>35</v>
      </c>
      <c r="Q36" s="82">
        <v>53.2</v>
      </c>
      <c r="R36" s="84">
        <f t="shared" si="0"/>
        <v>0</v>
      </c>
    </row>
    <row r="37" spans="1:18" x14ac:dyDescent="0.35">
      <c r="A37" s="41">
        <v>11606950</v>
      </c>
      <c r="B37" s="42" t="s">
        <v>110</v>
      </c>
      <c r="C37" s="11">
        <v>86</v>
      </c>
      <c r="D37" s="11">
        <v>70</v>
      </c>
      <c r="E37" s="3"/>
      <c r="F37" s="18">
        <v>11606950</v>
      </c>
      <c r="G37" s="9" t="s">
        <v>272</v>
      </c>
      <c r="H37" s="10">
        <v>86</v>
      </c>
      <c r="I37" s="10">
        <v>70</v>
      </c>
      <c r="J37" s="76">
        <v>78</v>
      </c>
      <c r="K37" s="2" t="s">
        <v>398</v>
      </c>
      <c r="L37" s="53">
        <v>78</v>
      </c>
      <c r="M37" s="80">
        <v>11606950</v>
      </c>
      <c r="N37" s="42" t="s">
        <v>272</v>
      </c>
      <c r="O37" s="82">
        <v>86</v>
      </c>
      <c r="P37" s="82">
        <v>70</v>
      </c>
      <c r="Q37" s="82">
        <v>78</v>
      </c>
      <c r="R37" s="84">
        <f t="shared" si="0"/>
        <v>0</v>
      </c>
    </row>
    <row r="38" spans="1:18" x14ac:dyDescent="0.35">
      <c r="A38" s="41">
        <v>11606961</v>
      </c>
      <c r="B38" s="42" t="s">
        <v>111</v>
      </c>
      <c r="C38" s="11">
        <v>81.8</v>
      </c>
      <c r="D38" s="11">
        <v>73</v>
      </c>
      <c r="E38" s="3"/>
      <c r="F38" s="18">
        <v>11606961</v>
      </c>
      <c r="G38" s="9" t="s">
        <v>273</v>
      </c>
      <c r="H38" s="10">
        <v>81.8</v>
      </c>
      <c r="I38" s="10">
        <v>73</v>
      </c>
      <c r="J38" s="76">
        <v>77.400000000000006</v>
      </c>
      <c r="K38" s="2" t="s">
        <v>398</v>
      </c>
      <c r="L38" s="53">
        <v>77.400000000000006</v>
      </c>
      <c r="M38" s="80">
        <v>11606961</v>
      </c>
      <c r="N38" s="42" t="s">
        <v>423</v>
      </c>
      <c r="O38" s="82">
        <v>81.8</v>
      </c>
      <c r="P38" s="82">
        <v>73</v>
      </c>
      <c r="Q38" s="82">
        <v>77.400000000000006</v>
      </c>
      <c r="R38" s="84">
        <f t="shared" si="0"/>
        <v>0</v>
      </c>
    </row>
    <row r="39" spans="1:18" x14ac:dyDescent="0.35">
      <c r="A39" s="41">
        <v>10673926</v>
      </c>
      <c r="B39" s="42" t="s">
        <v>112</v>
      </c>
      <c r="C39" s="11">
        <v>46</v>
      </c>
      <c r="D39" s="11">
        <v>38</v>
      </c>
      <c r="E39" s="3"/>
      <c r="F39" s="18">
        <v>10673926</v>
      </c>
      <c r="G39" s="9" t="s">
        <v>274</v>
      </c>
      <c r="H39" s="10">
        <v>46</v>
      </c>
      <c r="I39" s="10">
        <v>38</v>
      </c>
      <c r="J39" s="76">
        <v>42</v>
      </c>
      <c r="K39" s="2" t="s">
        <v>398</v>
      </c>
      <c r="L39" s="53">
        <v>42</v>
      </c>
      <c r="M39" s="80">
        <v>10673926</v>
      </c>
      <c r="N39" s="42" t="s">
        <v>424</v>
      </c>
      <c r="O39" s="82">
        <v>46</v>
      </c>
      <c r="P39" s="82">
        <v>38</v>
      </c>
      <c r="Q39" s="82">
        <v>42</v>
      </c>
      <c r="R39" s="84">
        <f t="shared" si="0"/>
        <v>0</v>
      </c>
    </row>
    <row r="40" spans="1:18" x14ac:dyDescent="0.35">
      <c r="A40" s="41">
        <v>11606972</v>
      </c>
      <c r="B40" s="42" t="s">
        <v>113</v>
      </c>
      <c r="C40" s="11">
        <v>85.6</v>
      </c>
      <c r="D40" s="11">
        <v>77.5</v>
      </c>
      <c r="E40" s="3"/>
      <c r="F40" s="18">
        <v>11606972</v>
      </c>
      <c r="G40" s="9" t="s">
        <v>275</v>
      </c>
      <c r="H40" s="10">
        <v>85.6</v>
      </c>
      <c r="I40" s="10">
        <v>77.5</v>
      </c>
      <c r="J40" s="76">
        <v>81.55</v>
      </c>
      <c r="K40" s="2" t="s">
        <v>398</v>
      </c>
      <c r="L40" s="53">
        <v>81.55</v>
      </c>
      <c r="M40" s="80">
        <v>11606972</v>
      </c>
      <c r="N40" s="42" t="s">
        <v>275</v>
      </c>
      <c r="O40" s="82">
        <v>85.6</v>
      </c>
      <c r="P40" s="82">
        <v>77.5</v>
      </c>
      <c r="Q40" s="82">
        <v>81.55</v>
      </c>
      <c r="R40" s="84">
        <f t="shared" si="0"/>
        <v>0</v>
      </c>
    </row>
    <row r="41" spans="1:18" x14ac:dyDescent="0.35">
      <c r="A41" s="41">
        <v>11606983</v>
      </c>
      <c r="B41" s="42" t="s">
        <v>114</v>
      </c>
      <c r="C41" s="11">
        <v>85.2</v>
      </c>
      <c r="D41" s="11">
        <v>70.5</v>
      </c>
      <c r="E41" s="3"/>
      <c r="F41" s="18">
        <v>11606983</v>
      </c>
      <c r="G41" s="9" t="s">
        <v>276</v>
      </c>
      <c r="H41" s="10">
        <v>85.2</v>
      </c>
      <c r="I41" s="10">
        <v>70.5</v>
      </c>
      <c r="J41" s="76">
        <v>77.849999999999994</v>
      </c>
      <c r="K41" s="2" t="s">
        <v>398</v>
      </c>
      <c r="L41" s="53">
        <v>77.849999999999994</v>
      </c>
      <c r="M41" s="80">
        <v>11606983</v>
      </c>
      <c r="N41" s="42" t="s">
        <v>276</v>
      </c>
      <c r="O41" s="82">
        <v>85.2</v>
      </c>
      <c r="P41" s="82">
        <v>70.5</v>
      </c>
      <c r="Q41" s="82">
        <v>77.849999999999994</v>
      </c>
      <c r="R41" s="84">
        <f t="shared" si="0"/>
        <v>0</v>
      </c>
    </row>
    <row r="42" spans="1:18" x14ac:dyDescent="0.35">
      <c r="A42" s="41">
        <v>10673948</v>
      </c>
      <c r="B42" s="42" t="s">
        <v>115</v>
      </c>
      <c r="C42" s="11">
        <v>87.6</v>
      </c>
      <c r="D42" s="11">
        <v>75</v>
      </c>
      <c r="E42" s="3"/>
      <c r="F42" s="18">
        <v>10673948</v>
      </c>
      <c r="G42" s="9" t="s">
        <v>277</v>
      </c>
      <c r="H42" s="10">
        <v>87.6</v>
      </c>
      <c r="I42" s="10">
        <v>75</v>
      </c>
      <c r="J42" s="76">
        <v>81.3</v>
      </c>
      <c r="K42" s="2" t="s">
        <v>398</v>
      </c>
      <c r="L42" s="53">
        <v>81.3</v>
      </c>
      <c r="M42" s="80">
        <v>10673948</v>
      </c>
      <c r="N42" s="42" t="s">
        <v>426</v>
      </c>
      <c r="O42" s="82">
        <v>87.6</v>
      </c>
      <c r="P42" s="82">
        <v>75</v>
      </c>
      <c r="Q42" s="82">
        <v>81.3</v>
      </c>
      <c r="R42" s="84">
        <f t="shared" ref="R42:R73" si="1">ROUND(Q42 - ABS(J42), 2)</f>
        <v>0</v>
      </c>
    </row>
    <row r="43" spans="1:18" x14ac:dyDescent="0.35">
      <c r="A43" s="41">
        <v>11606994</v>
      </c>
      <c r="B43" s="42" t="s">
        <v>116</v>
      </c>
      <c r="C43" s="11">
        <v>76</v>
      </c>
      <c r="D43" s="11">
        <v>35</v>
      </c>
      <c r="E43" s="3"/>
      <c r="F43" s="18">
        <v>11606994</v>
      </c>
      <c r="G43" s="9" t="s">
        <v>308</v>
      </c>
      <c r="H43" s="10">
        <v>76</v>
      </c>
      <c r="I43" s="10">
        <v>35</v>
      </c>
      <c r="J43" s="76">
        <v>55.5</v>
      </c>
      <c r="K43" s="2" t="s">
        <v>398</v>
      </c>
      <c r="L43" s="53">
        <v>55.5</v>
      </c>
      <c r="M43" s="80">
        <v>11606994</v>
      </c>
      <c r="N43" s="42" t="s">
        <v>308</v>
      </c>
      <c r="O43" s="82">
        <v>76</v>
      </c>
      <c r="P43" s="82">
        <v>35</v>
      </c>
      <c r="Q43" s="82">
        <v>55.5</v>
      </c>
      <c r="R43" s="84">
        <f t="shared" si="1"/>
        <v>0</v>
      </c>
    </row>
    <row r="44" spans="1:18" x14ac:dyDescent="0.35">
      <c r="A44" s="41">
        <v>11323714</v>
      </c>
      <c r="B44" s="42" t="s">
        <v>117</v>
      </c>
      <c r="C44" s="11">
        <v>73.2</v>
      </c>
      <c r="D44" s="11">
        <v>71</v>
      </c>
      <c r="E44" s="3"/>
      <c r="F44" s="18">
        <v>11323714</v>
      </c>
      <c r="G44" s="9" t="s">
        <v>278</v>
      </c>
      <c r="H44" s="10">
        <v>73.2</v>
      </c>
      <c r="I44" s="10">
        <v>71</v>
      </c>
      <c r="J44" s="76">
        <v>72.099999999999994</v>
      </c>
      <c r="K44" s="2" t="s">
        <v>398</v>
      </c>
      <c r="L44" s="53">
        <v>72.099999999999994</v>
      </c>
      <c r="M44" s="80">
        <v>11323714</v>
      </c>
      <c r="N44" s="42" t="s">
        <v>431</v>
      </c>
      <c r="O44" s="82">
        <v>73.2</v>
      </c>
      <c r="P44" s="82">
        <v>71</v>
      </c>
      <c r="Q44" s="82">
        <v>72.099999999999994</v>
      </c>
      <c r="R44" s="84">
        <f t="shared" si="1"/>
        <v>0</v>
      </c>
    </row>
    <row r="45" spans="1:18" x14ac:dyDescent="0.35">
      <c r="A45" s="41">
        <v>11607005</v>
      </c>
      <c r="B45" s="42" t="s">
        <v>118</v>
      </c>
      <c r="C45" s="11">
        <v>74.8</v>
      </c>
      <c r="D45" s="11">
        <v>46.5</v>
      </c>
      <c r="E45" s="3"/>
      <c r="F45" s="18">
        <v>11607005</v>
      </c>
      <c r="G45" s="9" t="s">
        <v>279</v>
      </c>
      <c r="H45" s="10">
        <v>74.8</v>
      </c>
      <c r="I45" s="10">
        <v>46.5</v>
      </c>
      <c r="J45" s="76">
        <v>60.65</v>
      </c>
      <c r="K45" s="2" t="s">
        <v>398</v>
      </c>
      <c r="L45" s="53">
        <v>60.65</v>
      </c>
      <c r="M45" s="80">
        <v>11607005</v>
      </c>
      <c r="N45" s="42" t="s">
        <v>429</v>
      </c>
      <c r="O45" s="82">
        <v>74.8</v>
      </c>
      <c r="P45" s="82">
        <v>46.5</v>
      </c>
      <c r="Q45" s="82">
        <v>60.65</v>
      </c>
      <c r="R45" s="84">
        <f t="shared" si="1"/>
        <v>0</v>
      </c>
    </row>
    <row r="46" spans="1:18" x14ac:dyDescent="0.35">
      <c r="A46" s="41">
        <v>11607016</v>
      </c>
      <c r="B46" s="42" t="s">
        <v>119</v>
      </c>
      <c r="C46" s="11">
        <v>80.8</v>
      </c>
      <c r="D46" s="11">
        <v>62.5</v>
      </c>
      <c r="E46" s="3"/>
      <c r="F46" s="18">
        <v>11607016</v>
      </c>
      <c r="G46" s="9" t="s">
        <v>280</v>
      </c>
      <c r="H46" s="10">
        <v>80.8</v>
      </c>
      <c r="I46" s="10">
        <v>62.5</v>
      </c>
      <c r="J46" s="76">
        <v>71.650000000000006</v>
      </c>
      <c r="K46" s="2" t="s">
        <v>398</v>
      </c>
      <c r="L46" s="53">
        <v>71.650000000000006</v>
      </c>
      <c r="M46" s="80">
        <v>11607016</v>
      </c>
      <c r="N46" s="42" t="s">
        <v>430</v>
      </c>
      <c r="O46" s="82">
        <v>80.8</v>
      </c>
      <c r="P46" s="82">
        <v>62.5</v>
      </c>
      <c r="Q46" s="82">
        <v>71.650000000000006</v>
      </c>
      <c r="R46" s="84">
        <f t="shared" si="1"/>
        <v>0</v>
      </c>
    </row>
    <row r="47" spans="1:18" x14ac:dyDescent="0.35">
      <c r="A47" s="41">
        <v>9658406</v>
      </c>
      <c r="B47" s="42" t="s">
        <v>120</v>
      </c>
      <c r="C47" s="11">
        <v>47.2</v>
      </c>
      <c r="D47" s="11">
        <v>38</v>
      </c>
      <c r="E47" s="3"/>
      <c r="F47" s="18">
        <v>9658406</v>
      </c>
      <c r="G47" s="9" t="s">
        <v>281</v>
      </c>
      <c r="H47" s="10">
        <v>47.2</v>
      </c>
      <c r="I47" s="10">
        <v>38</v>
      </c>
      <c r="J47" s="76">
        <v>42.6</v>
      </c>
      <c r="K47" s="2" t="s">
        <v>398</v>
      </c>
      <c r="L47" s="53">
        <v>42.6</v>
      </c>
      <c r="M47" s="80">
        <v>9658406</v>
      </c>
      <c r="N47" s="42" t="s">
        <v>420</v>
      </c>
      <c r="O47" s="82">
        <v>47.2</v>
      </c>
      <c r="P47" s="82">
        <v>38</v>
      </c>
      <c r="Q47" s="82">
        <v>40</v>
      </c>
      <c r="R47" s="85">
        <f t="shared" si="1"/>
        <v>-2.6</v>
      </c>
    </row>
    <row r="48" spans="1:18" x14ac:dyDescent="0.35">
      <c r="A48" s="41">
        <v>11607027</v>
      </c>
      <c r="B48" s="42" t="s">
        <v>121</v>
      </c>
      <c r="C48" s="11">
        <v>91</v>
      </c>
      <c r="D48" s="11">
        <v>99</v>
      </c>
      <c r="E48" s="3"/>
      <c r="F48" s="18">
        <v>11607027</v>
      </c>
      <c r="G48" s="9" t="s">
        <v>282</v>
      </c>
      <c r="H48" s="10">
        <v>91</v>
      </c>
      <c r="I48" s="10">
        <v>99</v>
      </c>
      <c r="J48" s="76">
        <v>95</v>
      </c>
      <c r="K48" s="2" t="s">
        <v>398</v>
      </c>
      <c r="L48" s="53">
        <v>95</v>
      </c>
      <c r="M48" s="80">
        <v>11607027</v>
      </c>
      <c r="N48" s="42" t="s">
        <v>282</v>
      </c>
      <c r="O48" s="82">
        <v>91</v>
      </c>
      <c r="P48" s="82">
        <v>99</v>
      </c>
      <c r="Q48" s="82">
        <v>95</v>
      </c>
      <c r="R48" s="84">
        <f t="shared" si="1"/>
        <v>0</v>
      </c>
    </row>
    <row r="49" spans="1:18" x14ac:dyDescent="0.35">
      <c r="A49" s="41">
        <v>11607049</v>
      </c>
      <c r="B49" s="42" t="s">
        <v>122</v>
      </c>
      <c r="C49" s="11">
        <v>88.4</v>
      </c>
      <c r="D49" s="11">
        <v>76.5</v>
      </c>
      <c r="E49" s="3"/>
      <c r="F49" s="19">
        <v>11607049</v>
      </c>
      <c r="G49" s="1" t="s">
        <v>284</v>
      </c>
      <c r="H49" s="12">
        <v>88.4</v>
      </c>
      <c r="I49" s="12">
        <v>76.5</v>
      </c>
      <c r="J49" s="77">
        <v>82.45</v>
      </c>
      <c r="K49" s="2" t="s">
        <v>398</v>
      </c>
      <c r="L49" s="53">
        <v>82.45</v>
      </c>
      <c r="M49" s="80">
        <v>11607049</v>
      </c>
      <c r="N49" s="42" t="s">
        <v>284</v>
      </c>
      <c r="O49" s="82">
        <v>88.4</v>
      </c>
      <c r="P49" s="82">
        <v>76.5</v>
      </c>
      <c r="Q49" s="82">
        <v>82.45</v>
      </c>
      <c r="R49" s="84">
        <f t="shared" si="1"/>
        <v>0</v>
      </c>
    </row>
    <row r="50" spans="1:18" x14ac:dyDescent="0.35">
      <c r="A50" s="41">
        <v>11607038</v>
      </c>
      <c r="B50" s="42" t="s">
        <v>123</v>
      </c>
      <c r="C50" s="11">
        <v>88.6</v>
      </c>
      <c r="D50" s="11">
        <v>87.5</v>
      </c>
      <c r="E50" s="3"/>
      <c r="F50" s="19">
        <v>11607038</v>
      </c>
      <c r="G50" s="1" t="s">
        <v>283</v>
      </c>
      <c r="H50" s="12">
        <v>88.6</v>
      </c>
      <c r="I50" s="12">
        <v>87.5</v>
      </c>
      <c r="J50" s="77">
        <v>88.05</v>
      </c>
      <c r="K50" s="2" t="s">
        <v>398</v>
      </c>
      <c r="L50" s="53">
        <v>88.05</v>
      </c>
      <c r="M50" s="80">
        <v>11607038</v>
      </c>
      <c r="N50" s="42" t="s">
        <v>432</v>
      </c>
      <c r="O50" s="82">
        <v>88.6</v>
      </c>
      <c r="P50" s="82">
        <v>87.5</v>
      </c>
      <c r="Q50" s="82">
        <v>88.05</v>
      </c>
      <c r="R50" s="84">
        <f t="shared" si="1"/>
        <v>0</v>
      </c>
    </row>
    <row r="51" spans="1:18" x14ac:dyDescent="0.35">
      <c r="A51" s="41">
        <v>11607050</v>
      </c>
      <c r="B51" s="42" t="s">
        <v>124</v>
      </c>
      <c r="C51" s="11">
        <v>98.8</v>
      </c>
      <c r="D51" s="11">
        <v>98.5</v>
      </c>
      <c r="E51" s="3"/>
      <c r="F51" s="19">
        <v>11607050</v>
      </c>
      <c r="G51" s="1" t="s">
        <v>285</v>
      </c>
      <c r="H51" s="12">
        <v>98.8</v>
      </c>
      <c r="I51" s="12">
        <v>98.5</v>
      </c>
      <c r="J51" s="77">
        <v>98.65</v>
      </c>
      <c r="K51" s="2" t="s">
        <v>398</v>
      </c>
      <c r="L51" s="53">
        <v>98.65</v>
      </c>
      <c r="M51" s="80">
        <v>11607050</v>
      </c>
      <c r="N51" s="42" t="s">
        <v>285</v>
      </c>
      <c r="O51" s="82">
        <v>98.8</v>
      </c>
      <c r="P51" s="82">
        <v>98.5</v>
      </c>
      <c r="Q51" s="82">
        <v>98.65</v>
      </c>
      <c r="R51" s="84">
        <f t="shared" si="1"/>
        <v>0</v>
      </c>
    </row>
    <row r="52" spans="1:18" x14ac:dyDescent="0.35">
      <c r="A52" s="41">
        <v>11323758</v>
      </c>
      <c r="B52" s="42" t="s">
        <v>125</v>
      </c>
      <c r="C52" s="11">
        <v>51.8</v>
      </c>
      <c r="D52" s="11">
        <v>50.5</v>
      </c>
      <c r="E52" s="3"/>
      <c r="F52" s="19">
        <v>11323758</v>
      </c>
      <c r="G52" s="1" t="s">
        <v>286</v>
      </c>
      <c r="H52" s="12">
        <v>51.8</v>
      </c>
      <c r="I52" s="12">
        <v>50.5</v>
      </c>
      <c r="J52" s="77">
        <v>51.15</v>
      </c>
      <c r="K52" s="2" t="s">
        <v>398</v>
      </c>
      <c r="L52" s="53">
        <v>51.15</v>
      </c>
      <c r="M52" s="80">
        <v>11323758</v>
      </c>
      <c r="N52" s="42" t="s">
        <v>433</v>
      </c>
      <c r="O52" s="82">
        <v>51.8</v>
      </c>
      <c r="P52" s="82">
        <v>50.5</v>
      </c>
      <c r="Q52" s="82">
        <v>51.15</v>
      </c>
      <c r="R52" s="84">
        <f t="shared" si="1"/>
        <v>0</v>
      </c>
    </row>
    <row r="53" spans="1:18" x14ac:dyDescent="0.35">
      <c r="A53" s="41">
        <v>11607061</v>
      </c>
      <c r="B53" s="42" t="s">
        <v>126</v>
      </c>
      <c r="C53" s="11">
        <v>80.599999999999994</v>
      </c>
      <c r="D53" s="11">
        <v>63.5</v>
      </c>
      <c r="E53" s="3"/>
      <c r="F53" s="19">
        <v>11607061</v>
      </c>
      <c r="G53" s="1" t="s">
        <v>287</v>
      </c>
      <c r="H53" s="12">
        <v>80.599999999999994</v>
      </c>
      <c r="I53" s="12">
        <v>63.5</v>
      </c>
      <c r="J53" s="77">
        <v>72.05</v>
      </c>
      <c r="K53" s="2" t="s">
        <v>398</v>
      </c>
      <c r="L53" s="53">
        <v>72.05</v>
      </c>
      <c r="M53" s="80">
        <v>11607061</v>
      </c>
      <c r="N53" s="42" t="s">
        <v>287</v>
      </c>
      <c r="O53" s="82">
        <v>80.599999999999994</v>
      </c>
      <c r="P53" s="82">
        <v>63.5</v>
      </c>
      <c r="Q53" s="82">
        <v>72.05</v>
      </c>
      <c r="R53" s="84">
        <f t="shared" si="1"/>
        <v>0</v>
      </c>
    </row>
    <row r="54" spans="1:18" x14ac:dyDescent="0.35">
      <c r="A54" s="41">
        <v>11323817</v>
      </c>
      <c r="B54" s="42" t="s">
        <v>127</v>
      </c>
      <c r="C54" s="11">
        <v>38.200000000000003</v>
      </c>
      <c r="D54" s="11">
        <v>35</v>
      </c>
      <c r="E54" s="3"/>
      <c r="F54" s="19">
        <v>11323817</v>
      </c>
      <c r="G54" s="1" t="s">
        <v>288</v>
      </c>
      <c r="H54" s="12">
        <v>38.200000000000003</v>
      </c>
      <c r="I54" s="12">
        <v>35</v>
      </c>
      <c r="J54" s="77">
        <v>36.6</v>
      </c>
      <c r="K54" s="2" t="s">
        <v>398</v>
      </c>
      <c r="L54" s="53">
        <v>36.6</v>
      </c>
      <c r="M54" s="80">
        <v>11323817</v>
      </c>
      <c r="N54" s="42" t="s">
        <v>427</v>
      </c>
      <c r="O54" s="82">
        <v>38.200000000000003</v>
      </c>
      <c r="P54" s="82">
        <v>35</v>
      </c>
      <c r="Q54" s="82">
        <v>36.6</v>
      </c>
      <c r="R54" s="84">
        <f t="shared" si="1"/>
        <v>0</v>
      </c>
    </row>
    <row r="55" spans="1:18" x14ac:dyDescent="0.35">
      <c r="A55" s="41">
        <v>11323828</v>
      </c>
      <c r="B55" s="42" t="s">
        <v>128</v>
      </c>
      <c r="C55" s="11">
        <v>49.8</v>
      </c>
      <c r="D55" s="11">
        <v>40</v>
      </c>
      <c r="E55" s="3"/>
      <c r="F55" s="19">
        <v>11323828</v>
      </c>
      <c r="G55" s="1" t="s">
        <v>289</v>
      </c>
      <c r="H55" s="12">
        <v>49.8</v>
      </c>
      <c r="I55" s="12">
        <v>40</v>
      </c>
      <c r="J55" s="77">
        <v>44.9</v>
      </c>
      <c r="K55" s="2" t="s">
        <v>398</v>
      </c>
      <c r="L55" s="53">
        <v>44.9</v>
      </c>
      <c r="M55" s="80">
        <v>11323828</v>
      </c>
      <c r="N55" s="42" t="s">
        <v>434</v>
      </c>
      <c r="O55" s="82">
        <v>49.8</v>
      </c>
      <c r="P55" s="82">
        <v>40</v>
      </c>
      <c r="Q55" s="82">
        <v>44.9</v>
      </c>
      <c r="R55" s="84">
        <f t="shared" si="1"/>
        <v>0</v>
      </c>
    </row>
    <row r="56" spans="1:18" x14ac:dyDescent="0.35">
      <c r="A56" s="41">
        <v>11607108</v>
      </c>
      <c r="B56" s="42" t="s">
        <v>129</v>
      </c>
      <c r="C56" s="11">
        <v>71.400000000000006</v>
      </c>
      <c r="D56" s="11">
        <v>65</v>
      </c>
      <c r="E56" s="3"/>
      <c r="F56" s="19">
        <v>11607108</v>
      </c>
      <c r="G56" s="1" t="s">
        <v>290</v>
      </c>
      <c r="H56" s="12">
        <v>71.400000000000006</v>
      </c>
      <c r="I56" s="12">
        <v>65</v>
      </c>
      <c r="J56" s="77">
        <v>68.2</v>
      </c>
      <c r="K56" s="2" t="s">
        <v>398</v>
      </c>
      <c r="L56" s="53">
        <v>68.2</v>
      </c>
      <c r="M56" s="80">
        <v>11607108</v>
      </c>
      <c r="N56" s="42" t="s">
        <v>290</v>
      </c>
      <c r="O56" s="82">
        <v>71.400000000000006</v>
      </c>
      <c r="P56" s="82">
        <v>65</v>
      </c>
      <c r="Q56" s="82">
        <v>68.2</v>
      </c>
      <c r="R56" s="84">
        <f t="shared" si="1"/>
        <v>0</v>
      </c>
    </row>
    <row r="57" spans="1:18" x14ac:dyDescent="0.35">
      <c r="A57" s="41">
        <v>11607083</v>
      </c>
      <c r="B57" s="42" t="s">
        <v>130</v>
      </c>
      <c r="C57" s="11">
        <v>87.2</v>
      </c>
      <c r="D57" s="11">
        <v>74</v>
      </c>
      <c r="E57" s="3"/>
      <c r="F57" s="19">
        <v>11607083</v>
      </c>
      <c r="G57" s="1" t="s">
        <v>309</v>
      </c>
      <c r="H57" s="12">
        <v>87.2</v>
      </c>
      <c r="I57" s="12">
        <v>74</v>
      </c>
      <c r="J57" s="77">
        <v>80.599999999999994</v>
      </c>
      <c r="K57" s="2" t="s">
        <v>398</v>
      </c>
      <c r="L57" s="53">
        <v>80.599999999999994</v>
      </c>
      <c r="M57" s="80">
        <v>11607083</v>
      </c>
      <c r="N57" s="42" t="s">
        <v>435</v>
      </c>
      <c r="O57" s="82">
        <v>87.2</v>
      </c>
      <c r="P57" s="82">
        <v>74</v>
      </c>
      <c r="Q57" s="82">
        <v>80.599999999999994</v>
      </c>
      <c r="R57" s="84">
        <f t="shared" si="1"/>
        <v>0</v>
      </c>
    </row>
    <row r="58" spans="1:18" x14ac:dyDescent="0.35">
      <c r="A58" s="41">
        <v>11607119</v>
      </c>
      <c r="B58" s="42" t="s">
        <v>131</v>
      </c>
      <c r="C58" s="11">
        <v>85.6</v>
      </c>
      <c r="D58" s="11">
        <v>89.5</v>
      </c>
      <c r="E58" s="3"/>
      <c r="F58" s="19">
        <v>11607119</v>
      </c>
      <c r="G58" s="1" t="s">
        <v>291</v>
      </c>
      <c r="H58" s="12">
        <v>85.6</v>
      </c>
      <c r="I58" s="12">
        <v>89.5</v>
      </c>
      <c r="J58" s="77">
        <v>87.55</v>
      </c>
      <c r="K58" s="2" t="s">
        <v>398</v>
      </c>
      <c r="L58" s="53">
        <v>87.55</v>
      </c>
      <c r="M58" s="80">
        <v>11607119</v>
      </c>
      <c r="N58" s="42" t="s">
        <v>291</v>
      </c>
      <c r="O58" s="82">
        <v>85.6</v>
      </c>
      <c r="P58" s="82">
        <v>89.5</v>
      </c>
      <c r="Q58" s="82">
        <v>87.55</v>
      </c>
      <c r="R58" s="84">
        <f t="shared" si="1"/>
        <v>0</v>
      </c>
    </row>
    <row r="59" spans="1:18" x14ac:dyDescent="0.35">
      <c r="A59" s="41">
        <v>11323851</v>
      </c>
      <c r="B59" s="42" t="s">
        <v>132</v>
      </c>
      <c r="C59" s="11">
        <v>66.2</v>
      </c>
      <c r="D59" s="11">
        <v>58.5</v>
      </c>
      <c r="E59" s="3"/>
      <c r="F59" s="18">
        <v>11323851</v>
      </c>
      <c r="G59" s="9" t="s">
        <v>292</v>
      </c>
      <c r="H59" s="10">
        <v>66.2</v>
      </c>
      <c r="I59" s="10">
        <v>58.5</v>
      </c>
      <c r="J59" s="76">
        <v>62.35</v>
      </c>
      <c r="K59" s="2" t="s">
        <v>398</v>
      </c>
      <c r="L59" s="53">
        <v>62.35</v>
      </c>
      <c r="M59" s="80">
        <v>11323851</v>
      </c>
      <c r="N59" s="42" t="s">
        <v>436</v>
      </c>
      <c r="O59" s="82">
        <v>66.2</v>
      </c>
      <c r="P59" s="82">
        <v>58.5</v>
      </c>
      <c r="Q59" s="82">
        <v>62.35</v>
      </c>
      <c r="R59" s="84">
        <f t="shared" si="1"/>
        <v>0</v>
      </c>
    </row>
    <row r="60" spans="1:18" x14ac:dyDescent="0.35">
      <c r="A60" s="41">
        <v>11607120</v>
      </c>
      <c r="B60" s="42" t="s">
        <v>133</v>
      </c>
      <c r="C60" s="11">
        <v>91</v>
      </c>
      <c r="D60" s="11">
        <v>92</v>
      </c>
      <c r="E60" s="3"/>
      <c r="F60" s="18">
        <v>11607120</v>
      </c>
      <c r="G60" s="9" t="s">
        <v>310</v>
      </c>
      <c r="H60" s="10">
        <v>91</v>
      </c>
      <c r="I60" s="10">
        <v>92</v>
      </c>
      <c r="J60" s="76">
        <v>91.5</v>
      </c>
      <c r="K60" s="2" t="s">
        <v>398</v>
      </c>
      <c r="L60" s="53">
        <v>91.5</v>
      </c>
      <c r="M60" s="80">
        <v>11607120</v>
      </c>
      <c r="N60" s="42" t="s">
        <v>437</v>
      </c>
      <c r="O60" s="82">
        <v>91</v>
      </c>
      <c r="P60" s="82">
        <v>92</v>
      </c>
      <c r="Q60" s="82">
        <v>91.5</v>
      </c>
      <c r="R60" s="84">
        <f t="shared" si="1"/>
        <v>0</v>
      </c>
    </row>
    <row r="61" spans="1:18" x14ac:dyDescent="0.35">
      <c r="A61" s="41">
        <v>10447774</v>
      </c>
      <c r="B61" s="42" t="s">
        <v>134</v>
      </c>
      <c r="C61" s="11">
        <v>85</v>
      </c>
      <c r="D61" s="11">
        <v>81.5</v>
      </c>
      <c r="E61" s="3"/>
      <c r="F61" s="18">
        <v>10447774</v>
      </c>
      <c r="G61" s="9" t="s">
        <v>293</v>
      </c>
      <c r="H61" s="10">
        <v>85</v>
      </c>
      <c r="I61" s="10">
        <v>81.5</v>
      </c>
      <c r="J61" s="76">
        <v>83.25</v>
      </c>
      <c r="K61" s="2" t="s">
        <v>398</v>
      </c>
      <c r="L61" s="53">
        <v>83.25</v>
      </c>
      <c r="M61" s="80">
        <v>10447774</v>
      </c>
      <c r="N61" s="42" t="s">
        <v>438</v>
      </c>
      <c r="O61" s="82">
        <v>85</v>
      </c>
      <c r="P61" s="82">
        <v>81.5</v>
      </c>
      <c r="Q61" s="82">
        <v>83.25</v>
      </c>
      <c r="R61" s="84">
        <f t="shared" si="1"/>
        <v>0</v>
      </c>
    </row>
    <row r="62" spans="1:18" x14ac:dyDescent="0.35">
      <c r="A62" s="41">
        <v>10447763</v>
      </c>
      <c r="B62" s="42" t="s">
        <v>135</v>
      </c>
      <c r="C62" s="11">
        <v>55.4</v>
      </c>
      <c r="D62" s="11">
        <v>47</v>
      </c>
      <c r="E62" s="3"/>
      <c r="F62" s="18">
        <v>10447763</v>
      </c>
      <c r="G62" s="9" t="s">
        <v>294</v>
      </c>
      <c r="H62" s="10">
        <v>55.4</v>
      </c>
      <c r="I62" s="10">
        <v>47</v>
      </c>
      <c r="J62" s="76">
        <v>51.2</v>
      </c>
      <c r="K62" s="2" t="s">
        <v>398</v>
      </c>
      <c r="L62" s="53">
        <v>51.2</v>
      </c>
      <c r="M62" s="80">
        <v>10447763</v>
      </c>
      <c r="N62" s="42" t="s">
        <v>417</v>
      </c>
      <c r="O62" s="82">
        <v>55.4</v>
      </c>
      <c r="P62" s="82">
        <v>47</v>
      </c>
      <c r="Q62" s="82">
        <v>51.2</v>
      </c>
      <c r="R62" s="84">
        <f t="shared" si="1"/>
        <v>0</v>
      </c>
    </row>
    <row r="63" spans="1:18" x14ac:dyDescent="0.35">
      <c r="A63" s="41">
        <v>11607131</v>
      </c>
      <c r="B63" s="42" t="s">
        <v>136</v>
      </c>
      <c r="C63" s="11">
        <v>77.8</v>
      </c>
      <c r="D63" s="11">
        <v>62.5</v>
      </c>
      <c r="E63" s="3"/>
      <c r="F63" s="18">
        <v>11607131</v>
      </c>
      <c r="G63" s="9" t="s">
        <v>295</v>
      </c>
      <c r="H63" s="10">
        <v>77.8</v>
      </c>
      <c r="I63" s="10">
        <v>62.5</v>
      </c>
      <c r="J63" s="76">
        <v>70.150000000000006</v>
      </c>
      <c r="K63" s="2" t="s">
        <v>398</v>
      </c>
      <c r="L63" s="53">
        <v>70.150000000000006</v>
      </c>
      <c r="M63" s="80">
        <v>11607131</v>
      </c>
      <c r="N63" s="42" t="s">
        <v>295</v>
      </c>
      <c r="O63" s="82">
        <v>77.8</v>
      </c>
      <c r="P63" s="82">
        <v>62.5</v>
      </c>
      <c r="Q63" s="82">
        <v>70.150000000000006</v>
      </c>
      <c r="R63" s="84">
        <f t="shared" si="1"/>
        <v>0</v>
      </c>
    </row>
    <row r="64" spans="1:18" x14ac:dyDescent="0.35">
      <c r="A64" s="41">
        <v>11607142</v>
      </c>
      <c r="B64" s="42" t="s">
        <v>137</v>
      </c>
      <c r="C64" s="11">
        <v>88.6</v>
      </c>
      <c r="D64" s="11">
        <v>88</v>
      </c>
      <c r="E64" s="3"/>
      <c r="F64" s="18">
        <v>11607142</v>
      </c>
      <c r="G64" s="9" t="s">
        <v>311</v>
      </c>
      <c r="H64" s="10">
        <v>88.6</v>
      </c>
      <c r="I64" s="10">
        <v>88</v>
      </c>
      <c r="J64" s="76">
        <v>88.3</v>
      </c>
      <c r="K64" s="2" t="s">
        <v>398</v>
      </c>
      <c r="L64" s="53">
        <v>88.3</v>
      </c>
      <c r="M64" s="80">
        <v>11607142</v>
      </c>
      <c r="N64" s="42" t="s">
        <v>439</v>
      </c>
      <c r="O64" s="82">
        <v>88.6</v>
      </c>
      <c r="P64" s="82">
        <v>88</v>
      </c>
      <c r="Q64" s="82">
        <v>88.3</v>
      </c>
      <c r="R64" s="84">
        <f t="shared" si="1"/>
        <v>0</v>
      </c>
    </row>
    <row r="65" spans="1:18" x14ac:dyDescent="0.35">
      <c r="A65" s="41">
        <v>11607153</v>
      </c>
      <c r="B65" s="42" t="s">
        <v>138</v>
      </c>
      <c r="C65" s="11">
        <v>80.2</v>
      </c>
      <c r="D65" s="11">
        <v>45</v>
      </c>
      <c r="E65" s="3"/>
      <c r="F65" s="18">
        <v>11607153</v>
      </c>
      <c r="G65" s="9" t="s">
        <v>296</v>
      </c>
      <c r="H65" s="10">
        <v>80.2</v>
      </c>
      <c r="I65" s="10">
        <v>45</v>
      </c>
      <c r="J65" s="76">
        <v>62.6</v>
      </c>
      <c r="K65" s="2" t="s">
        <v>398</v>
      </c>
      <c r="L65" s="53">
        <v>62.6</v>
      </c>
      <c r="M65" s="80">
        <v>11607153</v>
      </c>
      <c r="N65" s="42" t="s">
        <v>296</v>
      </c>
      <c r="O65" s="82">
        <v>80.2</v>
      </c>
      <c r="P65" s="82">
        <v>45</v>
      </c>
      <c r="Q65" s="82">
        <v>62.6</v>
      </c>
      <c r="R65" s="84">
        <f t="shared" si="1"/>
        <v>0</v>
      </c>
    </row>
    <row r="66" spans="1:18" x14ac:dyDescent="0.35">
      <c r="A66" s="41">
        <v>10447811</v>
      </c>
      <c r="B66" s="42" t="s">
        <v>139</v>
      </c>
      <c r="C66" s="11">
        <v>81</v>
      </c>
      <c r="D66" s="11">
        <v>88.5</v>
      </c>
      <c r="E66" s="3"/>
      <c r="F66" s="18">
        <v>10447811</v>
      </c>
      <c r="G66" s="9" t="s">
        <v>297</v>
      </c>
      <c r="H66" s="10">
        <v>81</v>
      </c>
      <c r="I66" s="10">
        <v>88.5</v>
      </c>
      <c r="J66" s="76">
        <v>84.75</v>
      </c>
      <c r="K66" s="2" t="s">
        <v>398</v>
      </c>
      <c r="L66" s="53">
        <v>84.75</v>
      </c>
      <c r="M66" s="80">
        <v>10447811</v>
      </c>
      <c r="N66" s="42" t="s">
        <v>440</v>
      </c>
      <c r="O66" s="82">
        <v>81</v>
      </c>
      <c r="P66" s="82">
        <v>88.5</v>
      </c>
      <c r="Q66" s="82">
        <v>84.75</v>
      </c>
      <c r="R66" s="84">
        <f t="shared" si="1"/>
        <v>0</v>
      </c>
    </row>
    <row r="67" spans="1:18" x14ac:dyDescent="0.35">
      <c r="A67" s="41">
        <v>11323862</v>
      </c>
      <c r="B67" s="42" t="s">
        <v>140</v>
      </c>
      <c r="C67" s="11">
        <v>67.400000000000006</v>
      </c>
      <c r="D67" s="11">
        <v>69</v>
      </c>
      <c r="E67" s="3"/>
      <c r="F67" s="18">
        <v>11323862</v>
      </c>
      <c r="G67" s="9" t="s">
        <v>298</v>
      </c>
      <c r="H67" s="10">
        <v>67.400000000000006</v>
      </c>
      <c r="I67" s="10">
        <v>69</v>
      </c>
      <c r="J67" s="76">
        <v>68.2</v>
      </c>
      <c r="K67" s="2" t="s">
        <v>398</v>
      </c>
      <c r="L67" s="53">
        <v>68.2</v>
      </c>
      <c r="M67" s="80">
        <v>11323862</v>
      </c>
      <c r="N67" s="42" t="s">
        <v>442</v>
      </c>
      <c r="O67" s="82">
        <v>67.400000000000006</v>
      </c>
      <c r="P67" s="82">
        <v>69</v>
      </c>
      <c r="Q67" s="82">
        <v>68.2</v>
      </c>
      <c r="R67" s="84">
        <f t="shared" si="1"/>
        <v>0</v>
      </c>
    </row>
    <row r="68" spans="1:18" x14ac:dyDescent="0.35">
      <c r="A68" s="41">
        <v>8748184</v>
      </c>
      <c r="B68" s="42" t="s">
        <v>312</v>
      </c>
      <c r="C68" s="11" t="s">
        <v>141</v>
      </c>
      <c r="D68" s="11">
        <v>9</v>
      </c>
      <c r="E68" s="3" t="s">
        <v>142</v>
      </c>
      <c r="F68" s="18">
        <v>8748184</v>
      </c>
      <c r="G68" s="9" t="s">
        <v>299</v>
      </c>
      <c r="H68" s="10">
        <v>43</v>
      </c>
      <c r="I68" s="10">
        <v>9</v>
      </c>
      <c r="J68" s="76">
        <v>4.5</v>
      </c>
      <c r="K68" s="2" t="s">
        <v>398</v>
      </c>
      <c r="L68" s="53">
        <v>4.5</v>
      </c>
      <c r="M68" s="80">
        <v>8748184</v>
      </c>
      <c r="N68" s="42" t="s">
        <v>405</v>
      </c>
      <c r="O68" s="82">
        <v>43</v>
      </c>
      <c r="P68" s="82">
        <v>9</v>
      </c>
      <c r="Q68" s="82">
        <v>26</v>
      </c>
      <c r="R68" s="85">
        <f t="shared" si="1"/>
        <v>21.5</v>
      </c>
    </row>
    <row r="69" spans="1:18" x14ac:dyDescent="0.35">
      <c r="A69" s="41">
        <v>10878808</v>
      </c>
      <c r="B69" s="42" t="s">
        <v>143</v>
      </c>
      <c r="C69" s="11">
        <v>85</v>
      </c>
      <c r="D69" s="11">
        <v>15.5</v>
      </c>
      <c r="E69" s="3" t="s">
        <v>142</v>
      </c>
      <c r="F69" s="18">
        <v>10878808</v>
      </c>
      <c r="G69" s="9" t="s">
        <v>300</v>
      </c>
      <c r="H69" s="10">
        <v>85</v>
      </c>
      <c r="I69" s="10">
        <v>15.5</v>
      </c>
      <c r="J69" s="76">
        <v>-50.25</v>
      </c>
      <c r="K69" s="2" t="s">
        <v>398</v>
      </c>
      <c r="L69" s="53">
        <v>50.25</v>
      </c>
      <c r="M69" s="80">
        <v>10878808</v>
      </c>
      <c r="N69" s="42" t="s">
        <v>406</v>
      </c>
      <c r="O69" s="82">
        <v>85</v>
      </c>
      <c r="P69" s="82">
        <v>16.5</v>
      </c>
      <c r="Q69" s="82">
        <v>40</v>
      </c>
      <c r="R69" s="85">
        <f t="shared" si="1"/>
        <v>-10.25</v>
      </c>
    </row>
    <row r="70" spans="1:18" hidden="1" x14ac:dyDescent="0.35">
      <c r="A70" s="41"/>
      <c r="B70" s="42"/>
      <c r="C70" s="11"/>
      <c r="D70" s="11"/>
      <c r="E70" s="3"/>
      <c r="F70" s="18"/>
      <c r="G70" s="9"/>
      <c r="H70" s="10">
        <v>0</v>
      </c>
      <c r="I70" s="10">
        <v>0</v>
      </c>
      <c r="J70" s="76">
        <v>0</v>
      </c>
      <c r="K70" s="2" t="str">
        <f t="shared" ref="K70:K73" si="2">IF(I70="-", IF(J70&lt;$K$6, "Failed!", "pass"), IF(AND(H70&gt;=$J$6, I70&gt;=$J$6, J70&gt;=$K$6), "pass", "Failed!"))</f>
        <v>Failed!</v>
      </c>
      <c r="L70" s="53">
        <f>ROUND(H70 - C70, 2)</f>
        <v>0</v>
      </c>
      <c r="M70" s="80"/>
      <c r="N70" s="42"/>
      <c r="O70" s="82"/>
      <c r="P70" s="82"/>
      <c r="Q70" s="82"/>
    </row>
    <row r="71" spans="1:18" hidden="1" x14ac:dyDescent="0.35">
      <c r="A71" s="41"/>
      <c r="B71" s="42"/>
      <c r="C71" s="11"/>
      <c r="D71" s="11"/>
      <c r="E71" s="3"/>
      <c r="F71" s="18"/>
      <c r="G71" s="9"/>
      <c r="H71" s="10"/>
      <c r="I71" s="10"/>
      <c r="J71" s="76"/>
      <c r="K71" s="2" t="str">
        <f t="shared" si="2"/>
        <v>Failed!</v>
      </c>
      <c r="L71" s="53"/>
      <c r="M71" s="80"/>
      <c r="N71" s="42"/>
      <c r="O71" s="82"/>
      <c r="P71" s="82"/>
      <c r="Q71" s="82"/>
    </row>
    <row r="72" spans="1:18" hidden="1" x14ac:dyDescent="0.35">
      <c r="A72" s="41"/>
      <c r="B72" s="42"/>
      <c r="C72" s="11"/>
      <c r="D72" s="11"/>
      <c r="E72" s="3"/>
      <c r="F72" s="18"/>
      <c r="G72" s="9"/>
      <c r="H72" s="10"/>
      <c r="I72" s="10"/>
      <c r="J72" s="76"/>
      <c r="K72" s="2" t="str">
        <f t="shared" si="2"/>
        <v>Failed!</v>
      </c>
      <c r="L72" s="53"/>
      <c r="M72" s="80"/>
      <c r="N72" s="42"/>
      <c r="O72" s="82"/>
      <c r="P72" s="82"/>
      <c r="Q72" s="82"/>
    </row>
    <row r="73" spans="1:18" hidden="1" x14ac:dyDescent="0.35">
      <c r="A73" s="41"/>
      <c r="B73" s="42"/>
      <c r="C73" s="11"/>
      <c r="D73" s="11"/>
      <c r="E73" s="3"/>
      <c r="F73" s="18"/>
      <c r="G73" s="9"/>
      <c r="H73" s="10"/>
      <c r="I73" s="10"/>
      <c r="J73" s="76"/>
      <c r="K73" s="2" t="str">
        <f t="shared" si="2"/>
        <v>Failed!</v>
      </c>
      <c r="L73" s="53"/>
      <c r="M73" s="80"/>
      <c r="N73" s="42"/>
      <c r="O73" s="82"/>
      <c r="P73" s="82"/>
      <c r="Q73" s="82"/>
    </row>
    <row r="74" spans="1:18" hidden="1" x14ac:dyDescent="0.35">
      <c r="A74" s="41"/>
      <c r="B74" s="42"/>
      <c r="C74" s="11"/>
      <c r="D74" s="11"/>
      <c r="E74" s="3"/>
      <c r="F74" s="18"/>
      <c r="G74" s="9"/>
      <c r="H74" s="10"/>
      <c r="I74" s="10"/>
      <c r="J74" s="76"/>
      <c r="K74" s="2" t="str">
        <f t="shared" ref="K74:K88" si="3">IF(I74="-", IF(J74&lt;$K$6, "Failed!", "pass"), IF(AND(H74&gt;=$J$6, I74&gt;=$J$6, J74&gt;=$K$6), "pass", "Failed!"))</f>
        <v>Failed!</v>
      </c>
      <c r="L74" s="53"/>
      <c r="M74" s="80"/>
      <c r="N74" s="42"/>
      <c r="O74" s="82"/>
      <c r="P74" s="82"/>
      <c r="Q74" s="82"/>
    </row>
    <row r="75" spans="1:18" hidden="1" x14ac:dyDescent="0.35">
      <c r="A75" s="41"/>
      <c r="B75" s="42"/>
      <c r="C75" s="11"/>
      <c r="D75" s="11"/>
      <c r="E75" s="3"/>
      <c r="F75" s="18"/>
      <c r="G75" s="9"/>
      <c r="H75" s="10"/>
      <c r="I75" s="10"/>
      <c r="J75" s="76"/>
      <c r="K75" s="2" t="str">
        <f t="shared" si="3"/>
        <v>Failed!</v>
      </c>
      <c r="L75" s="53"/>
      <c r="M75" s="80"/>
      <c r="N75" s="42"/>
      <c r="O75" s="82"/>
      <c r="P75" s="82"/>
      <c r="Q75" s="82"/>
    </row>
    <row r="76" spans="1:18" hidden="1" x14ac:dyDescent="0.35">
      <c r="A76" s="41"/>
      <c r="B76" s="42"/>
      <c r="C76" s="11"/>
      <c r="D76" s="11"/>
      <c r="E76" s="3"/>
      <c r="F76" s="18"/>
      <c r="G76" s="9"/>
      <c r="H76" s="10"/>
      <c r="I76" s="10"/>
      <c r="J76" s="76"/>
      <c r="K76" s="2" t="str">
        <f t="shared" si="3"/>
        <v>Failed!</v>
      </c>
      <c r="L76" s="53"/>
      <c r="M76" s="80"/>
      <c r="N76" s="42"/>
      <c r="O76" s="82"/>
      <c r="P76" s="82"/>
      <c r="Q76" s="82"/>
    </row>
    <row r="77" spans="1:18" hidden="1" x14ac:dyDescent="0.35">
      <c r="A77" s="41"/>
      <c r="B77" s="42"/>
      <c r="C77" s="11"/>
      <c r="D77" s="11"/>
      <c r="E77" s="3"/>
      <c r="F77" s="18"/>
      <c r="G77" s="9"/>
      <c r="H77" s="10"/>
      <c r="I77" s="10"/>
      <c r="J77" s="76"/>
      <c r="K77" s="2" t="str">
        <f t="shared" si="3"/>
        <v>Failed!</v>
      </c>
      <c r="L77" s="53"/>
      <c r="M77" s="80"/>
      <c r="N77" s="42"/>
      <c r="O77" s="82"/>
      <c r="P77" s="82"/>
      <c r="Q77" s="82"/>
    </row>
    <row r="78" spans="1:18" hidden="1" x14ac:dyDescent="0.35">
      <c r="A78" s="41"/>
      <c r="B78" s="42"/>
      <c r="C78" s="11"/>
      <c r="D78" s="11"/>
      <c r="E78" s="3"/>
      <c r="F78" s="18"/>
      <c r="G78" s="9"/>
      <c r="H78" s="10"/>
      <c r="I78" s="10"/>
      <c r="J78" s="76"/>
      <c r="K78" s="2" t="str">
        <f t="shared" si="3"/>
        <v>Failed!</v>
      </c>
      <c r="L78" s="53"/>
      <c r="M78" s="80"/>
      <c r="N78" s="42"/>
      <c r="O78" s="82"/>
      <c r="P78" s="82"/>
      <c r="Q78" s="82"/>
    </row>
    <row r="79" spans="1:18" hidden="1" x14ac:dyDescent="0.35">
      <c r="A79" s="41"/>
      <c r="B79" s="42"/>
      <c r="C79" s="11"/>
      <c r="D79" s="11"/>
      <c r="E79" s="3"/>
      <c r="F79" s="18"/>
      <c r="G79" s="9"/>
      <c r="H79" s="10"/>
      <c r="I79" s="10"/>
      <c r="J79" s="76"/>
      <c r="K79" s="2" t="str">
        <f t="shared" si="3"/>
        <v>Failed!</v>
      </c>
      <c r="L79" s="53"/>
      <c r="M79" s="80"/>
      <c r="N79" s="42"/>
      <c r="O79" s="82"/>
      <c r="P79" s="82"/>
      <c r="Q79" s="82"/>
    </row>
    <row r="80" spans="1:18" hidden="1" x14ac:dyDescent="0.35">
      <c r="A80" s="41"/>
      <c r="B80" s="42"/>
      <c r="C80" s="11"/>
      <c r="D80" s="11"/>
      <c r="E80" s="3"/>
      <c r="F80" s="18"/>
      <c r="G80" s="9"/>
      <c r="H80" s="10"/>
      <c r="I80" s="10"/>
      <c r="J80" s="76"/>
      <c r="K80" s="2" t="str">
        <f t="shared" si="3"/>
        <v>Failed!</v>
      </c>
      <c r="L80" s="53"/>
      <c r="M80" s="80"/>
      <c r="N80" s="42"/>
      <c r="O80" s="82"/>
      <c r="P80" s="82"/>
      <c r="Q80" s="82"/>
    </row>
    <row r="81" spans="1:17" hidden="1" x14ac:dyDescent="0.35">
      <c r="A81" s="41"/>
      <c r="B81" s="42"/>
      <c r="C81" s="11"/>
      <c r="D81" s="11"/>
      <c r="E81" s="3"/>
      <c r="F81" s="18"/>
      <c r="G81" s="9"/>
      <c r="H81" s="10"/>
      <c r="I81" s="10"/>
      <c r="J81" s="76"/>
      <c r="K81" s="2" t="str">
        <f t="shared" si="3"/>
        <v>Failed!</v>
      </c>
      <c r="L81" s="53"/>
      <c r="M81" s="80"/>
      <c r="N81" s="42"/>
      <c r="O81" s="82"/>
      <c r="P81" s="82"/>
      <c r="Q81" s="82"/>
    </row>
    <row r="82" spans="1:17" hidden="1" x14ac:dyDescent="0.35">
      <c r="A82" s="41"/>
      <c r="B82" s="42"/>
      <c r="C82" s="11"/>
      <c r="D82" s="11"/>
      <c r="E82" s="3"/>
      <c r="F82" s="18"/>
      <c r="G82" s="9"/>
      <c r="H82" s="10"/>
      <c r="I82" s="10"/>
      <c r="J82" s="76"/>
      <c r="K82" s="2" t="str">
        <f t="shared" si="3"/>
        <v>Failed!</v>
      </c>
      <c r="L82" s="53"/>
      <c r="M82" s="80"/>
      <c r="N82" s="42"/>
      <c r="O82" s="82"/>
      <c r="P82" s="82"/>
      <c r="Q82" s="82"/>
    </row>
    <row r="83" spans="1:17" hidden="1" x14ac:dyDescent="0.35">
      <c r="A83" s="41"/>
      <c r="B83" s="42"/>
      <c r="C83" s="11"/>
      <c r="D83" s="11"/>
      <c r="E83" s="3"/>
      <c r="F83" s="18"/>
      <c r="G83" s="9"/>
      <c r="H83" s="10"/>
      <c r="I83" s="10"/>
      <c r="J83" s="76"/>
      <c r="K83" s="2" t="str">
        <f t="shared" si="3"/>
        <v>Failed!</v>
      </c>
      <c r="L83" s="53"/>
      <c r="M83" s="80"/>
      <c r="N83" s="42"/>
      <c r="O83" s="82"/>
      <c r="P83" s="82"/>
      <c r="Q83" s="82"/>
    </row>
    <row r="84" spans="1:17" hidden="1" x14ac:dyDescent="0.35">
      <c r="A84" s="41"/>
      <c r="B84" s="42"/>
      <c r="C84" s="11"/>
      <c r="D84" s="11"/>
      <c r="E84" s="3"/>
      <c r="F84" s="18"/>
      <c r="G84" s="9"/>
      <c r="H84" s="10"/>
      <c r="I84" s="10"/>
      <c r="J84" s="76"/>
      <c r="K84" s="2" t="str">
        <f t="shared" si="3"/>
        <v>Failed!</v>
      </c>
      <c r="L84" s="53"/>
      <c r="M84" s="80"/>
      <c r="N84" s="42"/>
      <c r="O84" s="82"/>
      <c r="P84" s="82"/>
      <c r="Q84" s="82"/>
    </row>
    <row r="85" spans="1:17" hidden="1" x14ac:dyDescent="0.35">
      <c r="A85" s="41"/>
      <c r="B85" s="42"/>
      <c r="C85" s="11"/>
      <c r="D85" s="11"/>
      <c r="E85" s="3"/>
      <c r="F85" s="18"/>
      <c r="G85" s="9"/>
      <c r="H85" s="10"/>
      <c r="I85" s="10"/>
      <c r="J85" s="76"/>
      <c r="K85" s="2" t="str">
        <f t="shared" si="3"/>
        <v>Failed!</v>
      </c>
      <c r="L85" s="53"/>
      <c r="M85" s="80"/>
      <c r="N85" s="42"/>
      <c r="O85" s="82"/>
      <c r="P85" s="82"/>
      <c r="Q85" s="82"/>
    </row>
    <row r="86" spans="1:17" hidden="1" x14ac:dyDescent="0.35">
      <c r="A86" s="41"/>
      <c r="B86" s="42"/>
      <c r="C86" s="11"/>
      <c r="D86" s="11"/>
      <c r="E86" s="3"/>
      <c r="F86" s="18"/>
      <c r="G86" s="9"/>
      <c r="H86" s="10"/>
      <c r="I86" s="10"/>
      <c r="J86" s="76"/>
      <c r="K86" s="2" t="str">
        <f t="shared" si="3"/>
        <v>Failed!</v>
      </c>
      <c r="L86" s="53"/>
      <c r="M86" s="80"/>
      <c r="N86" s="42"/>
      <c r="O86" s="82"/>
      <c r="P86" s="82"/>
      <c r="Q86" s="82"/>
    </row>
    <row r="87" spans="1:17" hidden="1" x14ac:dyDescent="0.35">
      <c r="A87" s="41"/>
      <c r="B87" s="42"/>
      <c r="C87" s="11"/>
      <c r="D87" s="11"/>
      <c r="E87" s="3"/>
      <c r="F87" s="18"/>
      <c r="G87" s="9"/>
      <c r="H87" s="10"/>
      <c r="I87" s="10"/>
      <c r="J87" s="76"/>
      <c r="K87" s="2" t="str">
        <f t="shared" si="3"/>
        <v>Failed!</v>
      </c>
      <c r="L87" s="53"/>
      <c r="M87" s="80"/>
      <c r="N87" s="42"/>
      <c r="O87" s="82"/>
      <c r="P87" s="82"/>
      <c r="Q87" s="82"/>
    </row>
    <row r="88" spans="1:17" hidden="1" x14ac:dyDescent="0.35">
      <c r="A88" s="41"/>
      <c r="B88" s="42"/>
      <c r="C88" s="11"/>
      <c r="D88" s="11"/>
      <c r="E88" s="3"/>
      <c r="F88" s="18"/>
      <c r="G88" s="9"/>
      <c r="H88" s="10"/>
      <c r="I88" s="10"/>
      <c r="J88" s="76"/>
      <c r="K88" s="2" t="str">
        <f t="shared" si="3"/>
        <v>Failed!</v>
      </c>
      <c r="L88" s="53"/>
      <c r="M88" s="80"/>
      <c r="N88" s="42"/>
      <c r="O88" s="82"/>
      <c r="P88" s="82"/>
      <c r="Q88" s="82"/>
    </row>
    <row r="89" spans="1:17" x14ac:dyDescent="0.35">
      <c r="M89" s="4"/>
    </row>
    <row r="90" spans="1:17" x14ac:dyDescent="0.35">
      <c r="F90" s="4">
        <f>COUNTA(F10:F88)</f>
        <v>60</v>
      </c>
      <c r="G90" s="2" t="s">
        <v>14</v>
      </c>
      <c r="H90" s="40">
        <f>MAX(H10:H88)</f>
        <v>98.8</v>
      </c>
      <c r="I90" s="40">
        <f>MAX(I10:I88)</f>
        <v>99</v>
      </c>
      <c r="J90" s="40">
        <f>MAX(L10:L88)</f>
        <v>98.9</v>
      </c>
      <c r="M90" s="4"/>
    </row>
    <row r="91" spans="1:17" x14ac:dyDescent="0.35">
      <c r="G91" s="2" t="s">
        <v>12</v>
      </c>
      <c r="H91" s="40">
        <f>AVERAGE(H10:H88)</f>
        <v>74.806557377049174</v>
      </c>
      <c r="I91" s="40">
        <f>AVERAGE(I10:I88)</f>
        <v>66.663934426229503</v>
      </c>
      <c r="J91" s="40">
        <f>AVERAGE(L10:L88)</f>
        <v>70.38278688524592</v>
      </c>
      <c r="M91" s="4"/>
    </row>
    <row r="92" spans="1:17" x14ac:dyDescent="0.35">
      <c r="G92" s="2" t="s">
        <v>15</v>
      </c>
      <c r="H92" s="40">
        <f>MIN(H10:H88)</f>
        <v>0</v>
      </c>
      <c r="I92" s="40">
        <f>MIN(I10:I88)</f>
        <v>0</v>
      </c>
      <c r="J92" s="40">
        <f>MIN(L10:L88)</f>
        <v>0</v>
      </c>
      <c r="M92" s="4"/>
    </row>
    <row r="93" spans="1:17" x14ac:dyDescent="0.35">
      <c r="G93" s="2" t="s">
        <v>13</v>
      </c>
      <c r="H93" s="40">
        <f>STDEV(H10:H88)</f>
        <v>16.999763418475954</v>
      </c>
      <c r="I93" s="40">
        <f>STDEV(I10:I88)</f>
        <v>22.06594686227993</v>
      </c>
      <c r="J93" s="40">
        <f>STDEV(L10:L88)</f>
        <v>19.363657723610917</v>
      </c>
      <c r="M93" s="4"/>
    </row>
    <row r="94" spans="1:17" x14ac:dyDescent="0.35">
      <c r="G94" s="2" t="str">
        <f>"Failed count ( &lt; " &amp; K6 &amp; " )"</f>
        <v>Failed count ( &lt; 40 )</v>
      </c>
      <c r="H94" s="50">
        <f>COUNTIF(H10:H88, "&lt;40")</f>
        <v>2</v>
      </c>
      <c r="I94" s="50">
        <f>COUNTIF(I10:I88, "&lt;40")</f>
        <v>8</v>
      </c>
      <c r="J94" s="50">
        <f>COUNTIF(L10:L88, "&lt;40")</f>
        <v>3</v>
      </c>
      <c r="M94" s="4"/>
    </row>
    <row r="95" spans="1:17" x14ac:dyDescent="0.35">
      <c r="G95" s="2" t="s">
        <v>16</v>
      </c>
      <c r="H95" s="49">
        <f>1-H94/$F90</f>
        <v>0.96666666666666667</v>
      </c>
      <c r="I95" s="49">
        <f>1-I94/$F90</f>
        <v>0.8666666666666667</v>
      </c>
      <c r="J95" s="49">
        <f>1-J94/$F90</f>
        <v>0.95</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61" priority="1" operator="lessThan">
      <formula>$K$6</formula>
    </cfRule>
  </conditionalFormatting>
  <conditionalFormatting sqref="F10:I88">
    <cfRule type="expression" dxfId="60" priority="2" stopIfTrue="1">
      <formula>F10=A10</formula>
    </cfRule>
    <cfRule type="expression" dxfId="59" priority="3" stopIfTrue="1">
      <formula>F10&lt;&gt;A10</formula>
    </cfRule>
  </conditionalFormatting>
  <conditionalFormatting sqref="M10:Q69">
    <cfRule type="expression" dxfId="58" priority="4" stopIfTrue="1">
      <formula>M10=F10</formula>
    </cfRule>
    <cfRule type="expression" dxfId="5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1682"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1683"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109"/>
  <sheetViews>
    <sheetView zoomScaleNormal="100" workbookViewId="0">
      <pane xSplit="1" ySplit="9" topLeftCell="K46" activePane="bottomRight" state="frozen"/>
      <selection activeCell="E16" sqref="E16"/>
      <selection pane="topRight" activeCell="E16" sqref="E16"/>
      <selection pane="bottomLeft" activeCell="E16" sqref="E16"/>
      <selection pane="bottomRight" activeCell="N7" sqref="N7"/>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40</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144</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145</v>
      </c>
      <c r="C5" s="14"/>
      <c r="D5" s="16"/>
      <c r="F5" s="59" t="s">
        <v>38</v>
      </c>
      <c r="L5" s="52"/>
      <c r="M5" s="47" t="s">
        <v>49</v>
      </c>
    </row>
    <row r="6" spans="1:18" x14ac:dyDescent="0.35">
      <c r="A6" s="20" t="s">
        <v>37</v>
      </c>
      <c r="B6" s="13" t="s">
        <v>68</v>
      </c>
      <c r="C6" s="14"/>
      <c r="D6" s="16"/>
      <c r="F6" s="59" t="s">
        <v>54</v>
      </c>
      <c r="J6" s="70">
        <v>35</v>
      </c>
      <c r="K6" s="70">
        <v>40</v>
      </c>
      <c r="L6" s="52"/>
      <c r="N6" s="51" t="str">
        <f>B5&amp;".pdf"</f>
        <v>220CT.pdf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11606709</v>
      </c>
      <c r="B10" s="42" t="s">
        <v>85</v>
      </c>
      <c r="C10" s="11">
        <v>72</v>
      </c>
      <c r="D10" s="11">
        <v>66</v>
      </c>
      <c r="E10" s="3"/>
      <c r="F10" s="18">
        <v>11606709</v>
      </c>
      <c r="G10" s="9" t="s">
        <v>301</v>
      </c>
      <c r="H10" s="10">
        <v>72</v>
      </c>
      <c r="I10" s="10">
        <v>66</v>
      </c>
      <c r="J10" s="76">
        <v>69</v>
      </c>
      <c r="K10" s="2" t="s">
        <v>398</v>
      </c>
      <c r="L10" s="53">
        <v>69</v>
      </c>
      <c r="M10" s="80">
        <v>11606709</v>
      </c>
      <c r="N10" s="42" t="s">
        <v>407</v>
      </c>
      <c r="O10" s="82">
        <v>72</v>
      </c>
      <c r="P10" s="82">
        <v>66</v>
      </c>
      <c r="Q10" s="82">
        <v>69</v>
      </c>
      <c r="R10" s="84">
        <f t="shared" ref="R10:R49" si="0">ROUND(Q10 - ABS(J10), 2)</f>
        <v>0</v>
      </c>
    </row>
    <row r="11" spans="1:18" x14ac:dyDescent="0.35">
      <c r="A11" s="41">
        <v>11606732</v>
      </c>
      <c r="B11" s="43" t="s">
        <v>86</v>
      </c>
      <c r="C11" s="11">
        <v>74</v>
      </c>
      <c r="D11" s="11">
        <v>71</v>
      </c>
      <c r="E11" s="3"/>
      <c r="F11" s="18">
        <v>11606732</v>
      </c>
      <c r="G11" s="9" t="s">
        <v>251</v>
      </c>
      <c r="H11" s="10">
        <v>74</v>
      </c>
      <c r="I11" s="10">
        <v>71</v>
      </c>
      <c r="J11" s="76">
        <v>72.5</v>
      </c>
      <c r="K11" s="2" t="s">
        <v>398</v>
      </c>
      <c r="L11" s="53">
        <v>72.5</v>
      </c>
      <c r="M11" s="80">
        <v>11606732</v>
      </c>
      <c r="N11" s="42" t="s">
        <v>251</v>
      </c>
      <c r="O11" s="82">
        <v>74</v>
      </c>
      <c r="P11" s="82">
        <v>71</v>
      </c>
      <c r="Q11" s="82">
        <v>72.5</v>
      </c>
      <c r="R11" s="84">
        <f t="shared" si="0"/>
        <v>0</v>
      </c>
    </row>
    <row r="12" spans="1:18" x14ac:dyDescent="0.35">
      <c r="A12" s="41">
        <v>11606743</v>
      </c>
      <c r="B12" s="42" t="s">
        <v>87</v>
      </c>
      <c r="C12" s="11">
        <v>66</v>
      </c>
      <c r="D12" s="11">
        <v>57</v>
      </c>
      <c r="E12" s="3"/>
      <c r="F12" s="18">
        <v>11606743</v>
      </c>
      <c r="G12" s="9" t="s">
        <v>252</v>
      </c>
      <c r="H12" s="10">
        <v>66</v>
      </c>
      <c r="I12" s="10">
        <v>57</v>
      </c>
      <c r="J12" s="76">
        <v>61.5</v>
      </c>
      <c r="K12" s="2" t="s">
        <v>398</v>
      </c>
      <c r="L12" s="53">
        <v>61.5</v>
      </c>
      <c r="M12" s="80">
        <v>11606743</v>
      </c>
      <c r="N12" s="42" t="s">
        <v>252</v>
      </c>
      <c r="O12" s="82">
        <v>66</v>
      </c>
      <c r="P12" s="82">
        <v>57</v>
      </c>
      <c r="Q12" s="82">
        <v>61.5</v>
      </c>
      <c r="R12" s="84">
        <f t="shared" si="0"/>
        <v>0</v>
      </c>
    </row>
    <row r="13" spans="1:18" x14ac:dyDescent="0.35">
      <c r="A13" s="41">
        <v>11606754</v>
      </c>
      <c r="B13" s="42" t="s">
        <v>88</v>
      </c>
      <c r="C13" s="11">
        <v>84</v>
      </c>
      <c r="D13" s="11">
        <v>71</v>
      </c>
      <c r="E13" s="3"/>
      <c r="F13" s="18">
        <v>11606754</v>
      </c>
      <c r="G13" s="9" t="s">
        <v>253</v>
      </c>
      <c r="H13" s="10">
        <v>84</v>
      </c>
      <c r="I13" s="10">
        <v>71</v>
      </c>
      <c r="J13" s="76">
        <v>77.5</v>
      </c>
      <c r="K13" s="2" t="s">
        <v>398</v>
      </c>
      <c r="L13" s="53">
        <v>77.5</v>
      </c>
      <c r="M13" s="80">
        <v>11606754</v>
      </c>
      <c r="N13" s="42" t="s">
        <v>253</v>
      </c>
      <c r="O13" s="82">
        <v>84</v>
      </c>
      <c r="P13" s="82">
        <v>71</v>
      </c>
      <c r="Q13" s="82">
        <v>77.5</v>
      </c>
      <c r="R13" s="84">
        <f t="shared" si="0"/>
        <v>0</v>
      </c>
    </row>
    <row r="14" spans="1:18" x14ac:dyDescent="0.35">
      <c r="A14" s="41">
        <v>10673889</v>
      </c>
      <c r="B14" s="42" t="s">
        <v>90</v>
      </c>
      <c r="C14" s="11">
        <v>82</v>
      </c>
      <c r="D14" s="11">
        <v>72</v>
      </c>
      <c r="E14" s="3"/>
      <c r="F14" s="18">
        <v>10673889</v>
      </c>
      <c r="G14" s="9" t="s">
        <v>255</v>
      </c>
      <c r="H14" s="10">
        <v>82</v>
      </c>
      <c r="I14" s="10">
        <v>72</v>
      </c>
      <c r="J14" s="76">
        <v>77</v>
      </c>
      <c r="K14" s="2" t="s">
        <v>398</v>
      </c>
      <c r="L14" s="53">
        <v>77</v>
      </c>
      <c r="M14" s="80">
        <v>10673889</v>
      </c>
      <c r="N14" s="42" t="s">
        <v>409</v>
      </c>
      <c r="O14" s="82">
        <v>82</v>
      </c>
      <c r="P14" s="82">
        <v>72</v>
      </c>
      <c r="Q14" s="82">
        <v>77</v>
      </c>
      <c r="R14" s="84">
        <f t="shared" si="0"/>
        <v>0</v>
      </c>
    </row>
    <row r="15" spans="1:18" x14ac:dyDescent="0.35">
      <c r="A15" s="41">
        <v>11606802</v>
      </c>
      <c r="B15" s="42" t="s">
        <v>91</v>
      </c>
      <c r="C15" s="11">
        <v>66</v>
      </c>
      <c r="D15" s="11">
        <v>68</v>
      </c>
      <c r="E15" s="3"/>
      <c r="F15" s="18">
        <v>11606802</v>
      </c>
      <c r="G15" s="9" t="s">
        <v>256</v>
      </c>
      <c r="H15" s="10">
        <v>66</v>
      </c>
      <c r="I15" s="10">
        <v>68</v>
      </c>
      <c r="J15" s="76">
        <v>67</v>
      </c>
      <c r="K15" s="2" t="s">
        <v>398</v>
      </c>
      <c r="L15" s="53">
        <v>67</v>
      </c>
      <c r="M15" s="80">
        <v>11606802</v>
      </c>
      <c r="N15" s="42" t="s">
        <v>256</v>
      </c>
      <c r="O15" s="82">
        <v>66</v>
      </c>
      <c r="P15" s="82">
        <v>68</v>
      </c>
      <c r="Q15" s="82">
        <v>67</v>
      </c>
      <c r="R15" s="84">
        <f t="shared" si="0"/>
        <v>0</v>
      </c>
    </row>
    <row r="16" spans="1:18" x14ac:dyDescent="0.35">
      <c r="A16" s="41">
        <v>11606824</v>
      </c>
      <c r="B16" s="42" t="s">
        <v>92</v>
      </c>
      <c r="C16" s="11">
        <v>64</v>
      </c>
      <c r="D16" s="11">
        <v>63.5</v>
      </c>
      <c r="E16" s="3"/>
      <c r="F16" s="18">
        <v>11606824</v>
      </c>
      <c r="G16" s="9" t="s">
        <v>257</v>
      </c>
      <c r="H16" s="10">
        <v>64</v>
      </c>
      <c r="I16" s="10">
        <v>63.5</v>
      </c>
      <c r="J16" s="76">
        <v>63.75</v>
      </c>
      <c r="K16" s="2" t="s">
        <v>398</v>
      </c>
      <c r="L16" s="53">
        <v>63.75</v>
      </c>
      <c r="M16" s="80">
        <v>11606824</v>
      </c>
      <c r="N16" s="42" t="s">
        <v>428</v>
      </c>
      <c r="O16" s="82">
        <v>64</v>
      </c>
      <c r="P16" s="82">
        <v>63.5</v>
      </c>
      <c r="Q16" s="82">
        <v>63.75</v>
      </c>
      <c r="R16" s="84">
        <f t="shared" si="0"/>
        <v>0</v>
      </c>
    </row>
    <row r="17" spans="1:18" x14ac:dyDescent="0.35">
      <c r="A17" s="41">
        <v>11606835</v>
      </c>
      <c r="B17" s="42" t="s">
        <v>93</v>
      </c>
      <c r="C17" s="11">
        <v>64</v>
      </c>
      <c r="D17" s="11">
        <v>66</v>
      </c>
      <c r="E17" s="3"/>
      <c r="F17" s="18">
        <v>11606835</v>
      </c>
      <c r="G17" s="9" t="s">
        <v>258</v>
      </c>
      <c r="H17" s="10">
        <v>64</v>
      </c>
      <c r="I17" s="10">
        <v>66</v>
      </c>
      <c r="J17" s="76">
        <v>65</v>
      </c>
      <c r="K17" s="2" t="s">
        <v>398</v>
      </c>
      <c r="L17" s="53">
        <v>65</v>
      </c>
      <c r="M17" s="80">
        <v>11606835</v>
      </c>
      <c r="N17" s="42" t="s">
        <v>410</v>
      </c>
      <c r="O17" s="82">
        <v>64</v>
      </c>
      <c r="P17" s="82">
        <v>66</v>
      </c>
      <c r="Q17" s="82">
        <v>65</v>
      </c>
      <c r="R17" s="84">
        <f t="shared" si="0"/>
        <v>0</v>
      </c>
    </row>
    <row r="18" spans="1:18" x14ac:dyDescent="0.35">
      <c r="A18" s="41">
        <v>11606846</v>
      </c>
      <c r="B18" s="42" t="s">
        <v>94</v>
      </c>
      <c r="C18" s="11">
        <v>88</v>
      </c>
      <c r="D18" s="11">
        <v>66.5</v>
      </c>
      <c r="E18" s="3"/>
      <c r="F18" s="18">
        <v>11606846</v>
      </c>
      <c r="G18" s="9" t="s">
        <v>259</v>
      </c>
      <c r="H18" s="10">
        <v>88</v>
      </c>
      <c r="I18" s="10">
        <v>66.5</v>
      </c>
      <c r="J18" s="76">
        <v>77.25</v>
      </c>
      <c r="K18" s="2" t="s">
        <v>398</v>
      </c>
      <c r="L18" s="53">
        <v>77.25</v>
      </c>
      <c r="M18" s="80">
        <v>11606846</v>
      </c>
      <c r="N18" s="42" t="s">
        <v>411</v>
      </c>
      <c r="O18" s="82">
        <v>88</v>
      </c>
      <c r="P18" s="82">
        <v>66.5</v>
      </c>
      <c r="Q18" s="82">
        <v>77.25</v>
      </c>
      <c r="R18" s="84">
        <f t="shared" si="0"/>
        <v>0</v>
      </c>
    </row>
    <row r="19" spans="1:18" x14ac:dyDescent="0.35">
      <c r="A19" s="41">
        <v>10673971</v>
      </c>
      <c r="B19" s="42" t="s">
        <v>96</v>
      </c>
      <c r="C19" s="11">
        <v>56</v>
      </c>
      <c r="D19" s="11">
        <v>50</v>
      </c>
      <c r="E19" s="3"/>
      <c r="F19" s="18">
        <v>10673971</v>
      </c>
      <c r="G19" s="9" t="s">
        <v>261</v>
      </c>
      <c r="H19" s="10">
        <v>56</v>
      </c>
      <c r="I19" s="10">
        <v>50</v>
      </c>
      <c r="J19" s="76">
        <v>53</v>
      </c>
      <c r="K19" s="2" t="s">
        <v>398</v>
      </c>
      <c r="L19" s="53">
        <v>53</v>
      </c>
      <c r="M19" s="80">
        <v>10673971</v>
      </c>
      <c r="N19" s="42" t="s">
        <v>425</v>
      </c>
      <c r="O19" s="82">
        <v>56</v>
      </c>
      <c r="P19" s="82">
        <v>50</v>
      </c>
      <c r="Q19" s="82">
        <v>53</v>
      </c>
      <c r="R19" s="84">
        <f t="shared" si="0"/>
        <v>0</v>
      </c>
    </row>
    <row r="20" spans="1:18" x14ac:dyDescent="0.35">
      <c r="A20" s="41">
        <v>11606857</v>
      </c>
      <c r="B20" s="42" t="s">
        <v>97</v>
      </c>
      <c r="C20" s="11">
        <v>64</v>
      </c>
      <c r="D20" s="11">
        <v>64.5</v>
      </c>
      <c r="E20" s="3"/>
      <c r="F20" s="18">
        <v>11606857</v>
      </c>
      <c r="G20" s="9" t="s">
        <v>302</v>
      </c>
      <c r="H20" s="10">
        <v>64</v>
      </c>
      <c r="I20" s="10">
        <v>64.5</v>
      </c>
      <c r="J20" s="76">
        <v>64.25</v>
      </c>
      <c r="K20" s="2" t="s">
        <v>398</v>
      </c>
      <c r="L20" s="53">
        <v>64.25</v>
      </c>
      <c r="M20" s="80">
        <v>11606857</v>
      </c>
      <c r="N20" s="42" t="s">
        <v>302</v>
      </c>
      <c r="O20" s="82">
        <v>64</v>
      </c>
      <c r="P20" s="82">
        <v>64.5</v>
      </c>
      <c r="Q20" s="82">
        <v>64.25</v>
      </c>
      <c r="R20" s="84">
        <f t="shared" si="0"/>
        <v>0</v>
      </c>
    </row>
    <row r="21" spans="1:18" x14ac:dyDescent="0.35">
      <c r="A21" s="41">
        <v>11606868</v>
      </c>
      <c r="B21" s="42" t="s">
        <v>305</v>
      </c>
      <c r="C21" s="11">
        <v>62</v>
      </c>
      <c r="D21" s="11">
        <v>57</v>
      </c>
      <c r="E21" s="3"/>
      <c r="F21" s="18">
        <v>11606868</v>
      </c>
      <c r="G21" s="9" t="s">
        <v>304</v>
      </c>
      <c r="H21" s="10">
        <v>62</v>
      </c>
      <c r="I21" s="10">
        <v>57</v>
      </c>
      <c r="J21" s="76">
        <v>59.5</v>
      </c>
      <c r="K21" s="2" t="s">
        <v>398</v>
      </c>
      <c r="L21" s="53">
        <v>59.5</v>
      </c>
      <c r="M21" s="80">
        <v>11606868</v>
      </c>
      <c r="N21" s="42" t="s">
        <v>422</v>
      </c>
      <c r="O21" s="82">
        <v>62</v>
      </c>
      <c r="P21" s="82">
        <v>57</v>
      </c>
      <c r="Q21" s="82">
        <v>59.5</v>
      </c>
      <c r="R21" s="84">
        <f t="shared" si="0"/>
        <v>0</v>
      </c>
    </row>
    <row r="22" spans="1:18" x14ac:dyDescent="0.35">
      <c r="A22" s="41">
        <v>11606879</v>
      </c>
      <c r="B22" s="42" t="s">
        <v>100</v>
      </c>
      <c r="C22" s="11">
        <v>64</v>
      </c>
      <c r="D22" s="11">
        <v>61.5</v>
      </c>
      <c r="E22" s="3"/>
      <c r="F22" s="18">
        <v>11606879</v>
      </c>
      <c r="G22" s="9" t="s">
        <v>263</v>
      </c>
      <c r="H22" s="10">
        <v>64</v>
      </c>
      <c r="I22" s="10">
        <v>61.5</v>
      </c>
      <c r="J22" s="76">
        <v>62.75</v>
      </c>
      <c r="K22" s="2" t="s">
        <v>398</v>
      </c>
      <c r="L22" s="53">
        <v>62.75</v>
      </c>
      <c r="M22" s="80">
        <v>11606879</v>
      </c>
      <c r="N22" s="42" t="s">
        <v>414</v>
      </c>
      <c r="O22" s="82">
        <v>64</v>
      </c>
      <c r="P22" s="82">
        <v>61.5</v>
      </c>
      <c r="Q22" s="82">
        <v>62.75</v>
      </c>
      <c r="R22" s="84">
        <f t="shared" si="0"/>
        <v>0</v>
      </c>
    </row>
    <row r="23" spans="1:18" x14ac:dyDescent="0.35">
      <c r="A23" s="41">
        <v>11606891</v>
      </c>
      <c r="B23" s="42" t="s">
        <v>101</v>
      </c>
      <c r="C23" s="11">
        <v>84</v>
      </c>
      <c r="D23" s="11">
        <v>69.5</v>
      </c>
      <c r="E23" s="3"/>
      <c r="F23" s="18">
        <v>11606891</v>
      </c>
      <c r="G23" s="9" t="s">
        <v>264</v>
      </c>
      <c r="H23" s="10">
        <v>84</v>
      </c>
      <c r="I23" s="10">
        <v>69.5</v>
      </c>
      <c r="J23" s="76">
        <v>76.75</v>
      </c>
      <c r="K23" s="2" t="s">
        <v>398</v>
      </c>
      <c r="L23" s="53">
        <v>76.75</v>
      </c>
      <c r="M23" s="80">
        <v>11606891</v>
      </c>
      <c r="N23" s="42" t="s">
        <v>264</v>
      </c>
      <c r="O23" s="82">
        <v>84</v>
      </c>
      <c r="P23" s="82">
        <v>69.5</v>
      </c>
      <c r="Q23" s="82">
        <v>76.75</v>
      </c>
      <c r="R23" s="84">
        <f t="shared" si="0"/>
        <v>0</v>
      </c>
    </row>
    <row r="24" spans="1:18" x14ac:dyDescent="0.35">
      <c r="A24" s="41">
        <v>11606916</v>
      </c>
      <c r="B24" s="42" t="s">
        <v>102</v>
      </c>
      <c r="C24" s="11">
        <v>76</v>
      </c>
      <c r="D24" s="11">
        <v>67.5</v>
      </c>
      <c r="E24" s="3"/>
      <c r="F24" s="18">
        <v>11606916</v>
      </c>
      <c r="G24" s="9" t="s">
        <v>265</v>
      </c>
      <c r="H24" s="10">
        <v>76</v>
      </c>
      <c r="I24" s="10">
        <v>67.5</v>
      </c>
      <c r="J24" s="76">
        <v>71.75</v>
      </c>
      <c r="K24" s="2" t="s">
        <v>398</v>
      </c>
      <c r="L24" s="53">
        <v>71.75</v>
      </c>
      <c r="M24" s="80">
        <v>11606916</v>
      </c>
      <c r="N24" s="42" t="s">
        <v>265</v>
      </c>
      <c r="O24" s="82">
        <v>76</v>
      </c>
      <c r="P24" s="82">
        <v>67.5</v>
      </c>
      <c r="Q24" s="82">
        <v>71.75</v>
      </c>
      <c r="R24" s="84">
        <f t="shared" si="0"/>
        <v>0</v>
      </c>
    </row>
    <row r="25" spans="1:18" x14ac:dyDescent="0.35">
      <c r="A25" s="41">
        <v>11606927</v>
      </c>
      <c r="B25" s="42" t="s">
        <v>105</v>
      </c>
      <c r="C25" s="11">
        <v>64</v>
      </c>
      <c r="D25" s="11">
        <v>62</v>
      </c>
      <c r="E25" s="3"/>
      <c r="F25" s="18">
        <v>11606927</v>
      </c>
      <c r="G25" s="9" t="s">
        <v>307</v>
      </c>
      <c r="H25" s="10">
        <v>64</v>
      </c>
      <c r="I25" s="10">
        <v>62</v>
      </c>
      <c r="J25" s="76">
        <v>63</v>
      </c>
      <c r="K25" s="2" t="s">
        <v>398</v>
      </c>
      <c r="L25" s="53">
        <v>63</v>
      </c>
      <c r="M25" s="80">
        <v>11606927</v>
      </c>
      <c r="N25" s="42" t="s">
        <v>307</v>
      </c>
      <c r="O25" s="82">
        <v>64</v>
      </c>
      <c r="P25" s="82">
        <v>62</v>
      </c>
      <c r="Q25" s="82">
        <v>63</v>
      </c>
      <c r="R25" s="84">
        <f t="shared" si="0"/>
        <v>0</v>
      </c>
    </row>
    <row r="26" spans="1:18" x14ac:dyDescent="0.35">
      <c r="A26" s="41">
        <v>10674107</v>
      </c>
      <c r="B26" s="42" t="s">
        <v>146</v>
      </c>
      <c r="C26" s="11">
        <v>62</v>
      </c>
      <c r="D26" s="11">
        <v>62.5</v>
      </c>
      <c r="E26" s="3"/>
      <c r="F26" s="18">
        <v>10674107</v>
      </c>
      <c r="G26" s="9" t="s">
        <v>313</v>
      </c>
      <c r="H26" s="10">
        <v>62</v>
      </c>
      <c r="I26" s="10">
        <v>62.5</v>
      </c>
      <c r="J26" s="76">
        <v>62.25</v>
      </c>
      <c r="K26" s="2" t="s">
        <v>398</v>
      </c>
      <c r="L26" s="53">
        <v>62.25</v>
      </c>
      <c r="M26" s="80">
        <v>10674107</v>
      </c>
      <c r="N26" s="42" t="s">
        <v>443</v>
      </c>
      <c r="O26" s="82">
        <v>62</v>
      </c>
      <c r="P26" s="82">
        <v>62.5</v>
      </c>
      <c r="Q26" s="82">
        <v>62.25</v>
      </c>
      <c r="R26" s="84">
        <f t="shared" si="0"/>
        <v>0</v>
      </c>
    </row>
    <row r="27" spans="1:18" x14ac:dyDescent="0.35">
      <c r="A27" s="41">
        <v>11606938</v>
      </c>
      <c r="B27" s="42" t="s">
        <v>107</v>
      </c>
      <c r="C27" s="11">
        <v>66</v>
      </c>
      <c r="D27" s="11">
        <v>68</v>
      </c>
      <c r="E27" s="3"/>
      <c r="F27" s="18">
        <v>11606938</v>
      </c>
      <c r="G27" s="9" t="s">
        <v>269</v>
      </c>
      <c r="H27" s="10">
        <v>66</v>
      </c>
      <c r="I27" s="10">
        <v>68</v>
      </c>
      <c r="J27" s="76">
        <v>67</v>
      </c>
      <c r="K27" s="2" t="s">
        <v>398</v>
      </c>
      <c r="L27" s="53">
        <v>67</v>
      </c>
      <c r="M27" s="80">
        <v>11606938</v>
      </c>
      <c r="N27" s="42" t="s">
        <v>269</v>
      </c>
      <c r="O27" s="82">
        <v>66</v>
      </c>
      <c r="P27" s="82">
        <v>68</v>
      </c>
      <c r="Q27" s="82">
        <v>67</v>
      </c>
      <c r="R27" s="84">
        <f t="shared" si="0"/>
        <v>0</v>
      </c>
    </row>
    <row r="28" spans="1:18" x14ac:dyDescent="0.35">
      <c r="A28" s="41">
        <v>11606949</v>
      </c>
      <c r="B28" s="42" t="s">
        <v>109</v>
      </c>
      <c r="C28" s="11">
        <v>50</v>
      </c>
      <c r="D28" s="11">
        <v>63</v>
      </c>
      <c r="E28" s="3"/>
      <c r="F28" s="18">
        <v>11606949</v>
      </c>
      <c r="G28" s="9" t="s">
        <v>271</v>
      </c>
      <c r="H28" s="10">
        <v>50</v>
      </c>
      <c r="I28" s="10">
        <v>63</v>
      </c>
      <c r="J28" s="76">
        <v>56.5</v>
      </c>
      <c r="K28" s="2" t="s">
        <v>398</v>
      </c>
      <c r="L28" s="53">
        <v>56.5</v>
      </c>
      <c r="M28" s="80">
        <v>11606949</v>
      </c>
      <c r="N28" s="42" t="s">
        <v>271</v>
      </c>
      <c r="O28" s="82">
        <v>50</v>
      </c>
      <c r="P28" s="82">
        <v>63</v>
      </c>
      <c r="Q28" s="82">
        <v>56.5</v>
      </c>
      <c r="R28" s="84">
        <f t="shared" si="0"/>
        <v>0</v>
      </c>
    </row>
    <row r="29" spans="1:18" x14ac:dyDescent="0.35">
      <c r="A29" s="41">
        <v>11606950</v>
      </c>
      <c r="B29" s="42" t="s">
        <v>110</v>
      </c>
      <c r="C29" s="11">
        <v>68</v>
      </c>
      <c r="D29" s="11">
        <v>67</v>
      </c>
      <c r="E29" s="3"/>
      <c r="F29" s="18">
        <v>11606950</v>
      </c>
      <c r="G29" s="9" t="s">
        <v>272</v>
      </c>
      <c r="H29" s="10">
        <v>68</v>
      </c>
      <c r="I29" s="10">
        <v>67</v>
      </c>
      <c r="J29" s="76">
        <v>67.5</v>
      </c>
      <c r="K29" s="2" t="s">
        <v>398</v>
      </c>
      <c r="L29" s="53">
        <v>67.5</v>
      </c>
      <c r="M29" s="80">
        <v>11606950</v>
      </c>
      <c r="N29" s="42" t="s">
        <v>272</v>
      </c>
      <c r="O29" s="82">
        <v>68</v>
      </c>
      <c r="P29" s="82">
        <v>67</v>
      </c>
      <c r="Q29" s="82">
        <v>67.5</v>
      </c>
      <c r="R29" s="84">
        <f t="shared" si="0"/>
        <v>0</v>
      </c>
    </row>
    <row r="30" spans="1:18" x14ac:dyDescent="0.35">
      <c r="A30" s="41">
        <v>11606961</v>
      </c>
      <c r="B30" s="42" t="s">
        <v>111</v>
      </c>
      <c r="C30" s="11">
        <v>70</v>
      </c>
      <c r="D30" s="11">
        <v>66</v>
      </c>
      <c r="E30" s="3"/>
      <c r="F30" s="18">
        <v>11606961</v>
      </c>
      <c r="G30" s="9" t="s">
        <v>273</v>
      </c>
      <c r="H30" s="10">
        <v>70</v>
      </c>
      <c r="I30" s="10">
        <v>66</v>
      </c>
      <c r="J30" s="76">
        <v>68</v>
      </c>
      <c r="K30" s="2" t="s">
        <v>398</v>
      </c>
      <c r="L30" s="53">
        <v>68</v>
      </c>
      <c r="M30" s="80">
        <v>11606961</v>
      </c>
      <c r="N30" s="42" t="s">
        <v>423</v>
      </c>
      <c r="O30" s="82">
        <v>70</v>
      </c>
      <c r="P30" s="82">
        <v>66</v>
      </c>
      <c r="Q30" s="82">
        <v>68</v>
      </c>
      <c r="R30" s="84">
        <f t="shared" si="0"/>
        <v>0</v>
      </c>
    </row>
    <row r="31" spans="1:18" x14ac:dyDescent="0.35">
      <c r="A31" s="41">
        <v>10673926</v>
      </c>
      <c r="B31" s="42" t="s">
        <v>112</v>
      </c>
      <c r="C31" s="11">
        <v>62</v>
      </c>
      <c r="D31" s="11">
        <v>63</v>
      </c>
      <c r="E31" s="3"/>
      <c r="F31" s="18">
        <v>10673926</v>
      </c>
      <c r="G31" s="9" t="s">
        <v>274</v>
      </c>
      <c r="H31" s="10">
        <v>62</v>
      </c>
      <c r="I31" s="10">
        <v>63</v>
      </c>
      <c r="J31" s="76">
        <v>62.5</v>
      </c>
      <c r="K31" s="2" t="s">
        <v>398</v>
      </c>
      <c r="L31" s="53">
        <v>62.5</v>
      </c>
      <c r="M31" s="80">
        <v>10673926</v>
      </c>
      <c r="N31" s="42" t="s">
        <v>424</v>
      </c>
      <c r="O31" s="82">
        <v>62</v>
      </c>
      <c r="P31" s="82">
        <v>63</v>
      </c>
      <c r="Q31" s="82">
        <v>62.5</v>
      </c>
      <c r="R31" s="84">
        <f t="shared" si="0"/>
        <v>0</v>
      </c>
    </row>
    <row r="32" spans="1:18" x14ac:dyDescent="0.35">
      <c r="A32" s="41">
        <v>11606972</v>
      </c>
      <c r="B32" s="42" t="s">
        <v>113</v>
      </c>
      <c r="C32" s="11">
        <v>66</v>
      </c>
      <c r="D32" s="11">
        <v>64</v>
      </c>
      <c r="E32" s="3"/>
      <c r="F32" s="18">
        <v>11606972</v>
      </c>
      <c r="G32" s="9" t="s">
        <v>275</v>
      </c>
      <c r="H32" s="10">
        <v>66</v>
      </c>
      <c r="I32" s="10">
        <v>64</v>
      </c>
      <c r="J32" s="76">
        <v>65</v>
      </c>
      <c r="K32" s="2" t="s">
        <v>398</v>
      </c>
      <c r="L32" s="53">
        <v>65</v>
      </c>
      <c r="M32" s="80">
        <v>11606972</v>
      </c>
      <c r="N32" s="42" t="s">
        <v>275</v>
      </c>
      <c r="O32" s="82">
        <v>66</v>
      </c>
      <c r="P32" s="82">
        <v>64</v>
      </c>
      <c r="Q32" s="82">
        <v>65</v>
      </c>
      <c r="R32" s="84">
        <f t="shared" si="0"/>
        <v>0</v>
      </c>
    </row>
    <row r="33" spans="1:18" x14ac:dyDescent="0.35">
      <c r="A33" s="41">
        <v>11606983</v>
      </c>
      <c r="B33" s="42" t="s">
        <v>114</v>
      </c>
      <c r="C33" s="11">
        <v>56</v>
      </c>
      <c r="D33" s="11">
        <v>60</v>
      </c>
      <c r="E33" s="3"/>
      <c r="F33" s="18">
        <v>11606983</v>
      </c>
      <c r="G33" s="9" t="s">
        <v>276</v>
      </c>
      <c r="H33" s="10">
        <v>56</v>
      </c>
      <c r="I33" s="10">
        <v>60</v>
      </c>
      <c r="J33" s="76">
        <v>58</v>
      </c>
      <c r="K33" s="2" t="s">
        <v>398</v>
      </c>
      <c r="L33" s="53">
        <v>58</v>
      </c>
      <c r="M33" s="80">
        <v>11606983</v>
      </c>
      <c r="N33" s="42" t="s">
        <v>276</v>
      </c>
      <c r="O33" s="82">
        <v>56</v>
      </c>
      <c r="P33" s="82">
        <v>60</v>
      </c>
      <c r="Q33" s="82">
        <v>58</v>
      </c>
      <c r="R33" s="84">
        <f t="shared" si="0"/>
        <v>0</v>
      </c>
    </row>
    <row r="34" spans="1:18" x14ac:dyDescent="0.35">
      <c r="A34" s="41">
        <v>10673948</v>
      </c>
      <c r="B34" s="42" t="s">
        <v>115</v>
      </c>
      <c r="C34" s="11">
        <v>62</v>
      </c>
      <c r="D34" s="11">
        <v>67</v>
      </c>
      <c r="E34" s="3"/>
      <c r="F34" s="18">
        <v>10673948</v>
      </c>
      <c r="G34" s="9" t="s">
        <v>277</v>
      </c>
      <c r="H34" s="10">
        <v>62</v>
      </c>
      <c r="I34" s="10">
        <v>67</v>
      </c>
      <c r="J34" s="76">
        <v>64.5</v>
      </c>
      <c r="K34" s="2" t="s">
        <v>398</v>
      </c>
      <c r="L34" s="53">
        <v>64.5</v>
      </c>
      <c r="M34" s="80">
        <v>10673948</v>
      </c>
      <c r="N34" s="42" t="s">
        <v>426</v>
      </c>
      <c r="O34" s="82">
        <v>62</v>
      </c>
      <c r="P34" s="82">
        <v>67</v>
      </c>
      <c r="Q34" s="82">
        <v>64.5</v>
      </c>
      <c r="R34" s="84">
        <f t="shared" si="0"/>
        <v>0</v>
      </c>
    </row>
    <row r="35" spans="1:18" x14ac:dyDescent="0.35">
      <c r="A35" s="41">
        <v>11606994</v>
      </c>
      <c r="B35" s="42" t="s">
        <v>116</v>
      </c>
      <c r="C35" s="11">
        <v>56</v>
      </c>
      <c r="D35" s="11">
        <v>57</v>
      </c>
      <c r="E35" s="3"/>
      <c r="F35" s="18">
        <v>11606994</v>
      </c>
      <c r="G35" s="9" t="s">
        <v>308</v>
      </c>
      <c r="H35" s="10">
        <v>56</v>
      </c>
      <c r="I35" s="10">
        <v>57</v>
      </c>
      <c r="J35" s="76">
        <v>56.5</v>
      </c>
      <c r="K35" s="2" t="s">
        <v>398</v>
      </c>
      <c r="L35" s="53">
        <v>56.5</v>
      </c>
      <c r="M35" s="80">
        <v>11606994</v>
      </c>
      <c r="N35" s="42" t="s">
        <v>308</v>
      </c>
      <c r="O35" s="82">
        <v>56</v>
      </c>
      <c r="P35" s="82">
        <v>57</v>
      </c>
      <c r="Q35" s="82">
        <v>56.5</v>
      </c>
      <c r="R35" s="84">
        <f t="shared" si="0"/>
        <v>0</v>
      </c>
    </row>
    <row r="36" spans="1:18" x14ac:dyDescent="0.35">
      <c r="A36" s="41">
        <v>11607005</v>
      </c>
      <c r="B36" s="42" t="s">
        <v>118</v>
      </c>
      <c r="C36" s="11">
        <v>56</v>
      </c>
      <c r="D36" s="11">
        <v>53</v>
      </c>
      <c r="E36" s="3"/>
      <c r="F36" s="18">
        <v>11607005</v>
      </c>
      <c r="G36" s="9" t="s">
        <v>279</v>
      </c>
      <c r="H36" s="10">
        <v>56</v>
      </c>
      <c r="I36" s="10">
        <v>53</v>
      </c>
      <c r="J36" s="76">
        <v>54.5</v>
      </c>
      <c r="K36" s="2" t="s">
        <v>398</v>
      </c>
      <c r="L36" s="53">
        <v>54.5</v>
      </c>
      <c r="M36" s="80">
        <v>11607005</v>
      </c>
      <c r="N36" s="42" t="s">
        <v>429</v>
      </c>
      <c r="O36" s="82">
        <v>56</v>
      </c>
      <c r="P36" s="82">
        <v>53</v>
      </c>
      <c r="Q36" s="82">
        <v>54.5</v>
      </c>
      <c r="R36" s="84">
        <f t="shared" si="0"/>
        <v>0</v>
      </c>
    </row>
    <row r="37" spans="1:18" x14ac:dyDescent="0.35">
      <c r="A37" s="41">
        <v>11607016</v>
      </c>
      <c r="B37" s="42" t="s">
        <v>119</v>
      </c>
      <c r="C37" s="11">
        <v>62</v>
      </c>
      <c r="D37" s="11">
        <v>63</v>
      </c>
      <c r="E37" s="3"/>
      <c r="F37" s="18">
        <v>11607016</v>
      </c>
      <c r="G37" s="9" t="s">
        <v>280</v>
      </c>
      <c r="H37" s="10">
        <v>62</v>
      </c>
      <c r="I37" s="10">
        <v>63</v>
      </c>
      <c r="J37" s="76">
        <v>62.5</v>
      </c>
      <c r="K37" s="2" t="s">
        <v>398</v>
      </c>
      <c r="L37" s="53">
        <v>62.5</v>
      </c>
      <c r="M37" s="80">
        <v>11607016</v>
      </c>
      <c r="N37" s="42" t="s">
        <v>430</v>
      </c>
      <c r="O37" s="82">
        <v>62</v>
      </c>
      <c r="P37" s="82">
        <v>63</v>
      </c>
      <c r="Q37" s="82">
        <v>62.5</v>
      </c>
      <c r="R37" s="84">
        <f t="shared" si="0"/>
        <v>0</v>
      </c>
    </row>
    <row r="38" spans="1:18" x14ac:dyDescent="0.35">
      <c r="A38" s="41">
        <v>11607027</v>
      </c>
      <c r="B38" s="42" t="s">
        <v>121</v>
      </c>
      <c r="C38" s="11">
        <v>70</v>
      </c>
      <c r="D38" s="11">
        <v>67</v>
      </c>
      <c r="E38" s="3"/>
      <c r="F38" s="18">
        <v>11607027</v>
      </c>
      <c r="G38" s="9" t="s">
        <v>282</v>
      </c>
      <c r="H38" s="10">
        <v>70</v>
      </c>
      <c r="I38" s="10">
        <v>67</v>
      </c>
      <c r="J38" s="76">
        <v>68.5</v>
      </c>
      <c r="K38" s="2" t="s">
        <v>398</v>
      </c>
      <c r="L38" s="53">
        <v>68.5</v>
      </c>
      <c r="M38" s="80">
        <v>11607027</v>
      </c>
      <c r="N38" s="42" t="s">
        <v>282</v>
      </c>
      <c r="O38" s="82">
        <v>70</v>
      </c>
      <c r="P38" s="82">
        <v>67</v>
      </c>
      <c r="Q38" s="82">
        <v>68.5</v>
      </c>
      <c r="R38" s="84">
        <f t="shared" si="0"/>
        <v>0</v>
      </c>
    </row>
    <row r="39" spans="1:18" x14ac:dyDescent="0.35">
      <c r="A39" s="41">
        <v>11607049</v>
      </c>
      <c r="B39" s="42" t="s">
        <v>122</v>
      </c>
      <c r="C39" s="11">
        <v>70</v>
      </c>
      <c r="D39" s="11">
        <v>69.5</v>
      </c>
      <c r="E39" s="3"/>
      <c r="F39" s="18">
        <v>11607049</v>
      </c>
      <c r="G39" s="9" t="s">
        <v>284</v>
      </c>
      <c r="H39" s="10">
        <v>70</v>
      </c>
      <c r="I39" s="10">
        <v>69.5</v>
      </c>
      <c r="J39" s="76">
        <v>69.75</v>
      </c>
      <c r="K39" s="2" t="s">
        <v>398</v>
      </c>
      <c r="L39" s="53">
        <v>69.75</v>
      </c>
      <c r="M39" s="80">
        <v>11607049</v>
      </c>
      <c r="N39" s="42" t="s">
        <v>284</v>
      </c>
      <c r="O39" s="82">
        <v>70</v>
      </c>
      <c r="P39" s="82">
        <v>69.5</v>
      </c>
      <c r="Q39" s="82">
        <v>69.75</v>
      </c>
      <c r="R39" s="84">
        <f t="shared" si="0"/>
        <v>0</v>
      </c>
    </row>
    <row r="40" spans="1:18" x14ac:dyDescent="0.35">
      <c r="A40" s="41">
        <v>11607038</v>
      </c>
      <c r="B40" s="42" t="s">
        <v>123</v>
      </c>
      <c r="C40" s="11">
        <v>72</v>
      </c>
      <c r="D40" s="11">
        <v>65.5</v>
      </c>
      <c r="E40" s="3"/>
      <c r="F40" s="18">
        <v>11607038</v>
      </c>
      <c r="G40" s="9" t="s">
        <v>283</v>
      </c>
      <c r="H40" s="10">
        <v>72</v>
      </c>
      <c r="I40" s="10">
        <v>65.5</v>
      </c>
      <c r="J40" s="76">
        <v>68.75</v>
      </c>
      <c r="K40" s="2" t="s">
        <v>398</v>
      </c>
      <c r="L40" s="53">
        <v>68.75</v>
      </c>
      <c r="M40" s="80">
        <v>11607038</v>
      </c>
      <c r="N40" s="42" t="s">
        <v>432</v>
      </c>
      <c r="O40" s="82">
        <v>72</v>
      </c>
      <c r="P40" s="82">
        <v>65.5</v>
      </c>
      <c r="Q40" s="82">
        <v>68.75</v>
      </c>
      <c r="R40" s="84">
        <f t="shared" si="0"/>
        <v>0</v>
      </c>
    </row>
    <row r="41" spans="1:18" x14ac:dyDescent="0.35">
      <c r="A41" s="41">
        <v>11607050</v>
      </c>
      <c r="B41" s="42" t="s">
        <v>124</v>
      </c>
      <c r="C41" s="11">
        <v>70</v>
      </c>
      <c r="D41" s="11">
        <v>66</v>
      </c>
      <c r="E41" s="3"/>
      <c r="F41" s="18">
        <v>11607050</v>
      </c>
      <c r="G41" s="9" t="s">
        <v>285</v>
      </c>
      <c r="H41" s="10">
        <v>70</v>
      </c>
      <c r="I41" s="10">
        <v>66</v>
      </c>
      <c r="J41" s="76">
        <v>68</v>
      </c>
      <c r="K41" s="2" t="s">
        <v>398</v>
      </c>
      <c r="L41" s="53">
        <v>68</v>
      </c>
      <c r="M41" s="80">
        <v>11607050</v>
      </c>
      <c r="N41" s="42" t="s">
        <v>285</v>
      </c>
      <c r="O41" s="82">
        <v>70</v>
      </c>
      <c r="P41" s="82">
        <v>66</v>
      </c>
      <c r="Q41" s="82">
        <v>68</v>
      </c>
      <c r="R41" s="84">
        <f t="shared" si="0"/>
        <v>0</v>
      </c>
    </row>
    <row r="42" spans="1:18" x14ac:dyDescent="0.35">
      <c r="A42" s="41">
        <v>11607061</v>
      </c>
      <c r="B42" s="42" t="s">
        <v>126</v>
      </c>
      <c r="C42" s="11">
        <v>66</v>
      </c>
      <c r="D42" s="11">
        <v>65</v>
      </c>
      <c r="E42" s="3"/>
      <c r="F42" s="18">
        <v>11607061</v>
      </c>
      <c r="G42" s="9" t="s">
        <v>287</v>
      </c>
      <c r="H42" s="10">
        <v>66</v>
      </c>
      <c r="I42" s="10">
        <v>65</v>
      </c>
      <c r="J42" s="76">
        <v>65.5</v>
      </c>
      <c r="K42" s="2" t="s">
        <v>398</v>
      </c>
      <c r="L42" s="53">
        <v>65.5</v>
      </c>
      <c r="M42" s="80">
        <v>11607061</v>
      </c>
      <c r="N42" s="42" t="s">
        <v>287</v>
      </c>
      <c r="O42" s="82">
        <v>66</v>
      </c>
      <c r="P42" s="82">
        <v>65</v>
      </c>
      <c r="Q42" s="82">
        <v>65.5</v>
      </c>
      <c r="R42" s="84">
        <f t="shared" si="0"/>
        <v>0</v>
      </c>
    </row>
    <row r="43" spans="1:18" x14ac:dyDescent="0.35">
      <c r="A43" s="41">
        <v>11607108</v>
      </c>
      <c r="B43" s="42" t="s">
        <v>129</v>
      </c>
      <c r="C43" s="11">
        <v>66</v>
      </c>
      <c r="D43" s="11">
        <v>65</v>
      </c>
      <c r="E43" s="3"/>
      <c r="F43" s="18">
        <v>11607108</v>
      </c>
      <c r="G43" s="9" t="s">
        <v>290</v>
      </c>
      <c r="H43" s="10">
        <v>66</v>
      </c>
      <c r="I43" s="10">
        <v>65</v>
      </c>
      <c r="J43" s="76">
        <v>65.5</v>
      </c>
      <c r="K43" s="2" t="s">
        <v>398</v>
      </c>
      <c r="L43" s="53">
        <v>65.5</v>
      </c>
      <c r="M43" s="80">
        <v>11607108</v>
      </c>
      <c r="N43" s="42" t="s">
        <v>290</v>
      </c>
      <c r="O43" s="82">
        <v>66</v>
      </c>
      <c r="P43" s="82">
        <v>65</v>
      </c>
      <c r="Q43" s="82">
        <v>65.5</v>
      </c>
      <c r="R43" s="84">
        <f t="shared" si="0"/>
        <v>0</v>
      </c>
    </row>
    <row r="44" spans="1:18" x14ac:dyDescent="0.35">
      <c r="A44" s="41">
        <v>11607083</v>
      </c>
      <c r="B44" s="42" t="s">
        <v>130</v>
      </c>
      <c r="C44" s="11">
        <v>62</v>
      </c>
      <c r="D44" s="11">
        <v>58.5</v>
      </c>
      <c r="E44" s="3"/>
      <c r="F44" s="18">
        <v>11607083</v>
      </c>
      <c r="G44" s="9" t="s">
        <v>309</v>
      </c>
      <c r="H44" s="10">
        <v>62</v>
      </c>
      <c r="I44" s="10">
        <v>58.5</v>
      </c>
      <c r="J44" s="76">
        <v>60.25</v>
      </c>
      <c r="K44" s="2" t="s">
        <v>398</v>
      </c>
      <c r="L44" s="53">
        <v>60.25</v>
      </c>
      <c r="M44" s="80">
        <v>11607083</v>
      </c>
      <c r="N44" s="42" t="s">
        <v>435</v>
      </c>
      <c r="O44" s="82">
        <v>62</v>
      </c>
      <c r="P44" s="82">
        <v>58.5</v>
      </c>
      <c r="Q44" s="82">
        <v>60.25</v>
      </c>
      <c r="R44" s="84">
        <f t="shared" si="0"/>
        <v>0</v>
      </c>
    </row>
    <row r="45" spans="1:18" x14ac:dyDescent="0.35">
      <c r="A45" s="41">
        <v>11607119</v>
      </c>
      <c r="B45" s="42" t="s">
        <v>131</v>
      </c>
      <c r="C45" s="11">
        <v>62</v>
      </c>
      <c r="D45" s="11">
        <v>64</v>
      </c>
      <c r="E45" s="3"/>
      <c r="F45" s="18">
        <v>11607119</v>
      </c>
      <c r="G45" s="9" t="s">
        <v>291</v>
      </c>
      <c r="H45" s="10">
        <v>62</v>
      </c>
      <c r="I45" s="10">
        <v>64</v>
      </c>
      <c r="J45" s="76">
        <v>63</v>
      </c>
      <c r="K45" s="2" t="s">
        <v>398</v>
      </c>
      <c r="L45" s="53">
        <v>63</v>
      </c>
      <c r="M45" s="80">
        <v>11607119</v>
      </c>
      <c r="N45" s="42" t="s">
        <v>291</v>
      </c>
      <c r="O45" s="82">
        <v>62</v>
      </c>
      <c r="P45" s="82">
        <v>64</v>
      </c>
      <c r="Q45" s="82">
        <v>63</v>
      </c>
      <c r="R45" s="84">
        <f t="shared" si="0"/>
        <v>0</v>
      </c>
    </row>
    <row r="46" spans="1:18" x14ac:dyDescent="0.35">
      <c r="A46" s="41">
        <v>11607120</v>
      </c>
      <c r="B46" s="42" t="s">
        <v>133</v>
      </c>
      <c r="C46" s="11">
        <v>66</v>
      </c>
      <c r="D46" s="11">
        <v>65.5</v>
      </c>
      <c r="E46" s="3"/>
      <c r="F46" s="18">
        <v>11607120</v>
      </c>
      <c r="G46" s="9" t="s">
        <v>310</v>
      </c>
      <c r="H46" s="10">
        <v>66</v>
      </c>
      <c r="I46" s="10">
        <v>65.5</v>
      </c>
      <c r="J46" s="76">
        <v>65.75</v>
      </c>
      <c r="K46" s="2" t="s">
        <v>398</v>
      </c>
      <c r="L46" s="53">
        <v>65.75</v>
      </c>
      <c r="M46" s="80">
        <v>11607120</v>
      </c>
      <c r="N46" s="42" t="s">
        <v>437</v>
      </c>
      <c r="O46" s="82">
        <v>66</v>
      </c>
      <c r="P46" s="82">
        <v>65.5</v>
      </c>
      <c r="Q46" s="82">
        <v>65.75</v>
      </c>
      <c r="R46" s="84">
        <f t="shared" si="0"/>
        <v>0</v>
      </c>
    </row>
    <row r="47" spans="1:18" x14ac:dyDescent="0.35">
      <c r="A47" s="41">
        <v>11607131</v>
      </c>
      <c r="B47" s="42" t="s">
        <v>136</v>
      </c>
      <c r="C47" s="11">
        <v>58</v>
      </c>
      <c r="D47" s="11">
        <v>67</v>
      </c>
      <c r="E47" s="3"/>
      <c r="F47" s="18">
        <v>11607131</v>
      </c>
      <c r="G47" s="9" t="s">
        <v>295</v>
      </c>
      <c r="H47" s="10">
        <v>58</v>
      </c>
      <c r="I47" s="10">
        <v>67</v>
      </c>
      <c r="J47" s="76">
        <v>62.5</v>
      </c>
      <c r="K47" s="2" t="s">
        <v>398</v>
      </c>
      <c r="L47" s="53">
        <v>62.5</v>
      </c>
      <c r="M47" s="80">
        <v>11607131</v>
      </c>
      <c r="N47" s="42" t="s">
        <v>295</v>
      </c>
      <c r="O47" s="82">
        <v>58</v>
      </c>
      <c r="P47" s="82">
        <v>67</v>
      </c>
      <c r="Q47" s="82">
        <v>62.5</v>
      </c>
      <c r="R47" s="84">
        <f t="shared" si="0"/>
        <v>0</v>
      </c>
    </row>
    <row r="48" spans="1:18" x14ac:dyDescent="0.35">
      <c r="A48" s="41">
        <v>11607142</v>
      </c>
      <c r="B48" s="42" t="s">
        <v>137</v>
      </c>
      <c r="C48" s="11">
        <v>84</v>
      </c>
      <c r="D48" s="11">
        <v>67</v>
      </c>
      <c r="E48" s="3"/>
      <c r="F48" s="18">
        <v>11607142</v>
      </c>
      <c r="G48" s="9" t="s">
        <v>311</v>
      </c>
      <c r="H48" s="10">
        <v>84</v>
      </c>
      <c r="I48" s="10">
        <v>67</v>
      </c>
      <c r="J48" s="76">
        <v>75.5</v>
      </c>
      <c r="K48" s="2" t="s">
        <v>398</v>
      </c>
      <c r="L48" s="53">
        <v>75.5</v>
      </c>
      <c r="M48" s="80">
        <v>11607142</v>
      </c>
      <c r="N48" s="42" t="s">
        <v>439</v>
      </c>
      <c r="O48" s="82">
        <v>84</v>
      </c>
      <c r="P48" s="82">
        <v>67</v>
      </c>
      <c r="Q48" s="82">
        <v>75.5</v>
      </c>
      <c r="R48" s="84">
        <f t="shared" si="0"/>
        <v>0</v>
      </c>
    </row>
    <row r="49" spans="1:18" x14ac:dyDescent="0.35">
      <c r="A49" s="41">
        <v>11607153</v>
      </c>
      <c r="B49" s="42" t="s">
        <v>138</v>
      </c>
      <c r="C49" s="11">
        <v>64</v>
      </c>
      <c r="D49" s="11">
        <v>48.5</v>
      </c>
      <c r="E49" s="3"/>
      <c r="F49" s="19">
        <v>11607153</v>
      </c>
      <c r="G49" s="1" t="s">
        <v>296</v>
      </c>
      <c r="H49" s="12">
        <v>64</v>
      </c>
      <c r="I49" s="12">
        <v>48.5</v>
      </c>
      <c r="J49" s="77">
        <v>56.25</v>
      </c>
      <c r="K49" s="2" t="s">
        <v>398</v>
      </c>
      <c r="L49" s="53">
        <v>56.25</v>
      </c>
      <c r="M49" s="80">
        <v>11607153</v>
      </c>
      <c r="N49" s="42" t="s">
        <v>296</v>
      </c>
      <c r="O49" s="82">
        <v>64</v>
      </c>
      <c r="P49" s="82">
        <v>48.5</v>
      </c>
      <c r="Q49" s="82">
        <v>56.25</v>
      </c>
      <c r="R49" s="84">
        <f t="shared" si="0"/>
        <v>0</v>
      </c>
    </row>
    <row r="50" spans="1:18" hidden="1" x14ac:dyDescent="0.35">
      <c r="A50" s="41"/>
      <c r="B50" s="42"/>
      <c r="C50" s="11"/>
      <c r="D50" s="11"/>
      <c r="E50" s="3"/>
      <c r="F50" s="19"/>
      <c r="G50" s="1"/>
      <c r="H50" s="12"/>
      <c r="I50" s="12"/>
      <c r="J50" s="77"/>
      <c r="K50" s="2" t="str">
        <f t="shared" ref="K50:K73" si="1">IF(I50="-", IF(J50&lt;$K$6, "Failed!", "pass"), IF(AND(H50&gt;=$J$6, I50&gt;=$J$6, J50&gt;=$K$6), "pass", "Failed!"))</f>
        <v>Failed!</v>
      </c>
      <c r="L50" s="53"/>
      <c r="M50" s="80"/>
      <c r="N50" s="42"/>
      <c r="O50" s="82"/>
      <c r="P50" s="82"/>
      <c r="Q50" s="82"/>
    </row>
    <row r="51" spans="1:18" hidden="1" x14ac:dyDescent="0.35">
      <c r="A51" s="41"/>
      <c r="B51" s="42"/>
      <c r="C51" s="11"/>
      <c r="D51" s="11"/>
      <c r="E51" s="3"/>
      <c r="F51" s="19"/>
      <c r="G51" s="1"/>
      <c r="H51" s="12"/>
      <c r="I51" s="12"/>
      <c r="J51" s="77"/>
      <c r="K51" s="2" t="str">
        <f t="shared" si="1"/>
        <v>Failed!</v>
      </c>
      <c r="L51" s="53"/>
      <c r="M51" s="80"/>
      <c r="N51" s="42"/>
      <c r="O51" s="82"/>
      <c r="P51" s="82"/>
      <c r="Q51" s="82"/>
    </row>
    <row r="52" spans="1:18" hidden="1" x14ac:dyDescent="0.35">
      <c r="A52" s="41"/>
      <c r="B52" s="42"/>
      <c r="C52" s="11"/>
      <c r="D52" s="11"/>
      <c r="E52" s="3"/>
      <c r="F52" s="19"/>
      <c r="G52" s="1"/>
      <c r="H52" s="12"/>
      <c r="I52" s="12"/>
      <c r="J52" s="77"/>
      <c r="K52" s="2" t="str">
        <f t="shared" si="1"/>
        <v>Failed!</v>
      </c>
      <c r="L52" s="53"/>
      <c r="M52" s="80"/>
      <c r="N52" s="42"/>
      <c r="O52" s="82"/>
      <c r="P52" s="82"/>
      <c r="Q52" s="82"/>
    </row>
    <row r="53" spans="1:18" hidden="1" x14ac:dyDescent="0.35">
      <c r="A53" s="41"/>
      <c r="B53" s="42"/>
      <c r="C53" s="11"/>
      <c r="D53" s="11"/>
      <c r="E53" s="3"/>
      <c r="F53" s="19"/>
      <c r="G53" s="1"/>
      <c r="H53" s="12"/>
      <c r="I53" s="12"/>
      <c r="J53" s="77"/>
      <c r="K53" s="2" t="str">
        <f t="shared" si="1"/>
        <v>Failed!</v>
      </c>
      <c r="L53" s="53"/>
      <c r="M53" s="80"/>
      <c r="N53" s="42"/>
      <c r="O53" s="82"/>
      <c r="P53" s="82"/>
      <c r="Q53" s="82"/>
    </row>
    <row r="54" spans="1:18" hidden="1" x14ac:dyDescent="0.35">
      <c r="A54" s="41"/>
      <c r="B54" s="42"/>
      <c r="C54" s="11"/>
      <c r="D54" s="11"/>
      <c r="E54" s="3"/>
      <c r="F54" s="19"/>
      <c r="G54" s="1"/>
      <c r="H54" s="12"/>
      <c r="I54" s="12"/>
      <c r="J54" s="77"/>
      <c r="K54" s="2" t="str">
        <f t="shared" si="1"/>
        <v>Failed!</v>
      </c>
      <c r="L54" s="53"/>
      <c r="M54" s="80"/>
      <c r="N54" s="42"/>
      <c r="O54" s="82"/>
      <c r="P54" s="82"/>
      <c r="Q54" s="82"/>
    </row>
    <row r="55" spans="1:18" hidden="1" x14ac:dyDescent="0.35">
      <c r="A55" s="41"/>
      <c r="B55" s="42"/>
      <c r="C55" s="11"/>
      <c r="D55" s="11"/>
      <c r="E55" s="3"/>
      <c r="F55" s="19"/>
      <c r="G55" s="1"/>
      <c r="H55" s="12"/>
      <c r="I55" s="12"/>
      <c r="J55" s="77"/>
      <c r="K55" s="2" t="str">
        <f t="shared" si="1"/>
        <v>Failed!</v>
      </c>
      <c r="L55" s="53"/>
      <c r="M55" s="80"/>
      <c r="N55" s="42"/>
      <c r="O55" s="82"/>
      <c r="P55" s="82"/>
      <c r="Q55" s="82"/>
    </row>
    <row r="56" spans="1:18" hidden="1" x14ac:dyDescent="0.35">
      <c r="A56" s="41"/>
      <c r="B56" s="42"/>
      <c r="C56" s="11"/>
      <c r="D56" s="11"/>
      <c r="E56" s="3"/>
      <c r="F56" s="19"/>
      <c r="G56" s="1"/>
      <c r="H56" s="12"/>
      <c r="I56" s="12"/>
      <c r="J56" s="77"/>
      <c r="K56" s="2" t="str">
        <f t="shared" si="1"/>
        <v>Failed!</v>
      </c>
      <c r="L56" s="53"/>
      <c r="M56" s="80"/>
      <c r="N56" s="42"/>
      <c r="O56" s="82"/>
      <c r="P56" s="82"/>
      <c r="Q56" s="82"/>
    </row>
    <row r="57" spans="1:18" hidden="1" x14ac:dyDescent="0.35">
      <c r="A57" s="41"/>
      <c r="B57" s="42"/>
      <c r="C57" s="11"/>
      <c r="D57" s="11"/>
      <c r="E57" s="3"/>
      <c r="F57" s="19"/>
      <c r="G57" s="1"/>
      <c r="H57" s="12"/>
      <c r="I57" s="12"/>
      <c r="J57" s="77"/>
      <c r="K57" s="2" t="str">
        <f t="shared" si="1"/>
        <v>Failed!</v>
      </c>
      <c r="L57" s="53"/>
      <c r="M57" s="80"/>
      <c r="N57" s="42"/>
      <c r="O57" s="82"/>
      <c r="P57" s="82"/>
      <c r="Q57" s="82"/>
    </row>
    <row r="58" spans="1:18" hidden="1" x14ac:dyDescent="0.35">
      <c r="A58" s="41"/>
      <c r="B58" s="42"/>
      <c r="C58" s="11"/>
      <c r="D58" s="11"/>
      <c r="E58" s="3"/>
      <c r="F58" s="19"/>
      <c r="G58" s="1"/>
      <c r="H58" s="12"/>
      <c r="I58" s="12"/>
      <c r="J58" s="77"/>
      <c r="K58" s="2" t="str">
        <f t="shared" si="1"/>
        <v>Failed!</v>
      </c>
      <c r="L58" s="53"/>
      <c r="M58" s="80"/>
      <c r="N58" s="42"/>
      <c r="O58" s="82"/>
      <c r="P58" s="82"/>
      <c r="Q58" s="82"/>
    </row>
    <row r="59" spans="1:18" hidden="1" x14ac:dyDescent="0.35">
      <c r="A59" s="41"/>
      <c r="B59" s="42"/>
      <c r="C59" s="11"/>
      <c r="D59" s="11"/>
      <c r="E59" s="3"/>
      <c r="F59" s="18"/>
      <c r="G59" s="9"/>
      <c r="H59" s="10"/>
      <c r="I59" s="10"/>
      <c r="J59" s="76"/>
      <c r="K59" s="2" t="str">
        <f t="shared" si="1"/>
        <v>Failed!</v>
      </c>
      <c r="L59" s="53"/>
      <c r="M59" s="80"/>
      <c r="N59" s="42"/>
      <c r="O59" s="82"/>
      <c r="P59" s="82"/>
      <c r="Q59" s="82"/>
    </row>
    <row r="60" spans="1:18" hidden="1" x14ac:dyDescent="0.35">
      <c r="A60" s="41"/>
      <c r="B60" s="42"/>
      <c r="C60" s="11"/>
      <c r="D60" s="11"/>
      <c r="E60" s="3"/>
      <c r="F60" s="18"/>
      <c r="G60" s="9"/>
      <c r="H60" s="10"/>
      <c r="I60" s="10"/>
      <c r="J60" s="76"/>
      <c r="K60" s="2" t="str">
        <f t="shared" si="1"/>
        <v>Failed!</v>
      </c>
      <c r="L60" s="53"/>
      <c r="M60" s="80"/>
      <c r="N60" s="42"/>
      <c r="O60" s="82"/>
      <c r="P60" s="82"/>
      <c r="Q60" s="82"/>
    </row>
    <row r="61" spans="1:18" hidden="1" x14ac:dyDescent="0.35">
      <c r="A61" s="41"/>
      <c r="B61" s="42"/>
      <c r="C61" s="11"/>
      <c r="D61" s="11"/>
      <c r="E61" s="3"/>
      <c r="F61" s="18"/>
      <c r="G61" s="9"/>
      <c r="H61" s="10"/>
      <c r="I61" s="10"/>
      <c r="J61" s="76"/>
      <c r="K61" s="2" t="str">
        <f t="shared" si="1"/>
        <v>Failed!</v>
      </c>
      <c r="L61" s="53"/>
      <c r="M61" s="80"/>
      <c r="N61" s="42"/>
      <c r="O61" s="82"/>
      <c r="P61" s="82"/>
      <c r="Q61" s="82"/>
    </row>
    <row r="62" spans="1:18" hidden="1" x14ac:dyDescent="0.35">
      <c r="A62" s="41"/>
      <c r="B62" s="42"/>
      <c r="C62" s="11"/>
      <c r="D62" s="11"/>
      <c r="E62" s="3"/>
      <c r="F62" s="18"/>
      <c r="G62" s="9"/>
      <c r="H62" s="10"/>
      <c r="I62" s="10"/>
      <c r="J62" s="76"/>
      <c r="K62" s="2" t="str">
        <f t="shared" si="1"/>
        <v>Failed!</v>
      </c>
      <c r="L62" s="53"/>
      <c r="M62" s="80"/>
      <c r="N62" s="42"/>
      <c r="O62" s="82"/>
      <c r="P62" s="82"/>
      <c r="Q62" s="82"/>
    </row>
    <row r="63" spans="1:18" hidden="1" x14ac:dyDescent="0.35">
      <c r="A63" s="41"/>
      <c r="B63" s="42"/>
      <c r="C63" s="11"/>
      <c r="D63" s="11"/>
      <c r="E63" s="3"/>
      <c r="F63" s="18"/>
      <c r="G63" s="9"/>
      <c r="H63" s="10"/>
      <c r="I63" s="10"/>
      <c r="J63" s="76"/>
      <c r="K63" s="2" t="str">
        <f t="shared" si="1"/>
        <v>Failed!</v>
      </c>
      <c r="L63" s="53"/>
      <c r="M63" s="80"/>
      <c r="N63" s="42"/>
      <c r="O63" s="82"/>
      <c r="P63" s="82"/>
      <c r="Q63" s="82"/>
    </row>
    <row r="64" spans="1:18"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40</v>
      </c>
      <c r="G90" s="2" t="s">
        <v>14</v>
      </c>
      <c r="H90" s="40">
        <f>MAX(H10:H88)</f>
        <v>88</v>
      </c>
      <c r="I90" s="40">
        <f>MAX(I10:I88)</f>
        <v>72</v>
      </c>
      <c r="J90" s="40">
        <f>MAX(L10:L88)</f>
        <v>77.5</v>
      </c>
      <c r="M90" s="4"/>
    </row>
    <row r="91" spans="1:17" x14ac:dyDescent="0.35">
      <c r="G91" s="2" t="s">
        <v>12</v>
      </c>
      <c r="H91" s="40">
        <f>AVERAGE(H10:H88)</f>
        <v>66.900000000000006</v>
      </c>
      <c r="I91" s="40">
        <f>AVERAGE(I10:I88)</f>
        <v>63.875</v>
      </c>
      <c r="J91" s="40">
        <f>AVERAGE(L10:L88)</f>
        <v>65.387500000000003</v>
      </c>
      <c r="M91" s="4"/>
    </row>
    <row r="92" spans="1:17" x14ac:dyDescent="0.35">
      <c r="G92" s="2" t="s">
        <v>15</v>
      </c>
      <c r="H92" s="40">
        <f>MIN(H10:H88)</f>
        <v>50</v>
      </c>
      <c r="I92" s="40">
        <f>MIN(I10:I88)</f>
        <v>48.5</v>
      </c>
      <c r="J92" s="40">
        <f>MIN(L10:L88)</f>
        <v>53</v>
      </c>
      <c r="M92" s="4"/>
    </row>
    <row r="93" spans="1:17" x14ac:dyDescent="0.35">
      <c r="G93" s="2" t="s">
        <v>13</v>
      </c>
      <c r="H93" s="40">
        <f>STDEV(H10:H88)</f>
        <v>8.5328926168244124</v>
      </c>
      <c r="I93" s="40">
        <f>STDEV(I10:I88)</f>
        <v>5.3262172076990764</v>
      </c>
      <c r="J93" s="40">
        <f>STDEV(L10:L88)</f>
        <v>6.2506281735600435</v>
      </c>
      <c r="M93" s="4"/>
    </row>
    <row r="94" spans="1:17" x14ac:dyDescent="0.35">
      <c r="G94" s="2" t="str">
        <f>"Failed count ( &lt; " &amp; K6 &amp; " )"</f>
        <v>Failed count ( &lt; 40 )</v>
      </c>
      <c r="H94" s="50">
        <f>COUNTIF(H10:H88, "&lt;40")</f>
        <v>0</v>
      </c>
      <c r="I94" s="50">
        <f>COUNTIF(I10:I88, "&lt;40")</f>
        <v>0</v>
      </c>
      <c r="J94" s="50">
        <f>COUNTIF(L10:L88, "&lt;40")</f>
        <v>0</v>
      </c>
      <c r="M94" s="4"/>
    </row>
    <row r="95" spans="1:17" x14ac:dyDescent="0.35">
      <c r="G95" s="2" t="s">
        <v>16</v>
      </c>
      <c r="H95" s="49">
        <f>1-H94/$F90</f>
        <v>1</v>
      </c>
      <c r="I95" s="49">
        <f>1-I94/$F90</f>
        <v>1</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56" priority="1" operator="lessThan">
      <formula>$K$6</formula>
    </cfRule>
  </conditionalFormatting>
  <conditionalFormatting sqref="F10:I88">
    <cfRule type="expression" dxfId="55" priority="2" stopIfTrue="1">
      <formula>F10=A10</formula>
    </cfRule>
    <cfRule type="expression" dxfId="54" priority="3" stopIfTrue="1">
      <formula>F10&lt;&gt;A10</formula>
    </cfRule>
  </conditionalFormatting>
  <conditionalFormatting sqref="M10:Q49">
    <cfRule type="expression" dxfId="53" priority="4" stopIfTrue="1">
      <formula>M10=F10</formula>
    </cfRule>
    <cfRule type="expression" dxfId="5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2706"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2707"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109"/>
  <sheetViews>
    <sheetView zoomScaleNormal="100" workbookViewId="0">
      <pane xSplit="1" ySplit="9" topLeftCell="G52" activePane="bottomRight" state="frozen"/>
      <selection activeCell="E16" sqref="E16"/>
      <selection pane="topRight" activeCell="E16" sqref="E16"/>
      <selection pane="bottomLeft" activeCell="E16" sqref="E16"/>
      <selection pane="bottomRight" activeCell="J51" sqref="J51"/>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58</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147</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148</v>
      </c>
      <c r="C5" s="14"/>
      <c r="D5" s="16"/>
      <c r="F5" s="59" t="s">
        <v>38</v>
      </c>
      <c r="L5" s="52"/>
      <c r="M5" s="47" t="s">
        <v>49</v>
      </c>
    </row>
    <row r="6" spans="1:18" x14ac:dyDescent="0.35">
      <c r="A6" s="20" t="s">
        <v>37</v>
      </c>
      <c r="B6" s="13" t="s">
        <v>68</v>
      </c>
      <c r="C6" s="14"/>
      <c r="D6" s="16"/>
      <c r="F6" s="59" t="s">
        <v>54</v>
      </c>
      <c r="J6" s="70">
        <v>35</v>
      </c>
      <c r="K6" s="70">
        <v>40</v>
      </c>
      <c r="L6" s="52"/>
      <c r="N6" s="51" t="str">
        <f>B5&amp;".pdf"</f>
        <v>260CT.pdf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11606709</v>
      </c>
      <c r="B10" s="42" t="s">
        <v>85</v>
      </c>
      <c r="C10" s="11">
        <v>75</v>
      </c>
      <c r="D10" s="11">
        <v>66.5</v>
      </c>
      <c r="E10" s="3"/>
      <c r="F10" s="18">
        <v>11606709</v>
      </c>
      <c r="G10" s="9" t="s">
        <v>301</v>
      </c>
      <c r="H10" s="10">
        <v>75</v>
      </c>
      <c r="I10" s="10">
        <v>66.5</v>
      </c>
      <c r="J10" s="76">
        <v>70.75</v>
      </c>
      <c r="K10" s="2" t="s">
        <v>398</v>
      </c>
      <c r="L10" s="53">
        <v>70.75</v>
      </c>
      <c r="M10" s="80">
        <v>11606709</v>
      </c>
      <c r="N10" s="42" t="s">
        <v>407</v>
      </c>
      <c r="O10" s="82">
        <v>75</v>
      </c>
      <c r="P10" s="82">
        <v>66.5</v>
      </c>
      <c r="Q10" s="82">
        <v>70.75</v>
      </c>
      <c r="R10" s="84">
        <f>ROUND(Q10 - ABS(J10), 2)</f>
        <v>0</v>
      </c>
    </row>
    <row r="11" spans="1:18" x14ac:dyDescent="0.35">
      <c r="A11" s="41">
        <v>11606732</v>
      </c>
      <c r="B11" s="43" t="s">
        <v>86</v>
      </c>
      <c r="C11" s="11">
        <v>73</v>
      </c>
      <c r="D11" s="11">
        <v>60.5</v>
      </c>
      <c r="E11" s="3"/>
      <c r="F11" s="18">
        <v>11606732</v>
      </c>
      <c r="G11" s="9" t="s">
        <v>251</v>
      </c>
      <c r="H11" s="10">
        <v>73</v>
      </c>
      <c r="I11" s="10">
        <v>60.5</v>
      </c>
      <c r="J11" s="76">
        <v>66.75</v>
      </c>
      <c r="K11" s="2" t="s">
        <v>398</v>
      </c>
      <c r="L11" s="53">
        <v>66.75</v>
      </c>
      <c r="M11" s="80">
        <v>11606732</v>
      </c>
      <c r="N11" s="42" t="s">
        <v>251</v>
      </c>
      <c r="O11" s="82">
        <v>73</v>
      </c>
      <c r="P11" s="82">
        <v>60.5</v>
      </c>
      <c r="Q11" s="82">
        <v>66.75</v>
      </c>
      <c r="R11" s="84">
        <f>ROUND(Q11 - ABS(J11), 2)</f>
        <v>0</v>
      </c>
    </row>
    <row r="12" spans="1:18" x14ac:dyDescent="0.35">
      <c r="A12" s="41">
        <v>11606743</v>
      </c>
      <c r="B12" s="42" t="s">
        <v>87</v>
      </c>
      <c r="C12" s="11">
        <v>70.7</v>
      </c>
      <c r="D12" s="11">
        <v>56</v>
      </c>
      <c r="E12" s="3"/>
      <c r="F12" s="18">
        <v>11606743</v>
      </c>
      <c r="G12" s="9" t="s">
        <v>252</v>
      </c>
      <c r="H12" s="10">
        <v>70.7</v>
      </c>
      <c r="I12" s="10">
        <v>56</v>
      </c>
      <c r="J12" s="76">
        <v>63.35</v>
      </c>
      <c r="K12" s="2" t="s">
        <v>398</v>
      </c>
      <c r="L12" s="53">
        <v>63.35</v>
      </c>
      <c r="M12" s="80">
        <v>11606743</v>
      </c>
      <c r="N12" s="42" t="s">
        <v>252</v>
      </c>
      <c r="O12" s="82">
        <v>70.7</v>
      </c>
      <c r="P12" s="82">
        <v>56</v>
      </c>
      <c r="Q12" s="82">
        <v>63.35</v>
      </c>
      <c r="R12" s="84">
        <f>ROUND(Q12 - ABS(J12), 2)</f>
        <v>0</v>
      </c>
    </row>
    <row r="13" spans="1:18" x14ac:dyDescent="0.35">
      <c r="A13" s="41">
        <v>11606754</v>
      </c>
      <c r="B13" s="42" t="s">
        <v>88</v>
      </c>
      <c r="C13" s="11">
        <v>70.3</v>
      </c>
      <c r="D13" s="11">
        <v>59.5</v>
      </c>
      <c r="E13" s="3"/>
      <c r="F13" s="18">
        <v>11606754</v>
      </c>
      <c r="G13" s="9" t="s">
        <v>253</v>
      </c>
      <c r="H13" s="10">
        <v>70.3</v>
      </c>
      <c r="I13" s="10">
        <v>59.5</v>
      </c>
      <c r="J13" s="76">
        <v>64.900000000000006</v>
      </c>
      <c r="K13" s="2" t="s">
        <v>398</v>
      </c>
      <c r="L13" s="53">
        <v>64.900000000000006</v>
      </c>
      <c r="M13" s="80">
        <v>11606754</v>
      </c>
      <c r="N13" s="42" t="s">
        <v>253</v>
      </c>
      <c r="O13" s="82">
        <v>70.3</v>
      </c>
      <c r="P13" s="82">
        <v>59.5</v>
      </c>
      <c r="Q13" s="82">
        <v>64.900000000000006</v>
      </c>
      <c r="R13" s="84">
        <f>ROUND(Q13 - ABS(J13), 2)</f>
        <v>0</v>
      </c>
    </row>
    <row r="14" spans="1:18" x14ac:dyDescent="0.35">
      <c r="A14" s="41">
        <v>11323932</v>
      </c>
      <c r="B14" s="42" t="s">
        <v>89</v>
      </c>
      <c r="C14" s="11">
        <v>71</v>
      </c>
      <c r="D14" s="11">
        <v>59</v>
      </c>
      <c r="E14" s="3"/>
      <c r="F14" s="18">
        <v>11323932</v>
      </c>
      <c r="G14" s="9" t="s">
        <v>254</v>
      </c>
      <c r="H14" s="10">
        <v>71</v>
      </c>
      <c r="I14" s="10">
        <v>59</v>
      </c>
      <c r="J14" s="76">
        <v>65</v>
      </c>
      <c r="K14" s="2" t="s">
        <v>398</v>
      </c>
      <c r="L14" s="53">
        <v>65</v>
      </c>
      <c r="M14" s="80">
        <v>11323932</v>
      </c>
      <c r="N14" s="42" t="s">
        <v>408</v>
      </c>
      <c r="O14" s="82">
        <v>71</v>
      </c>
      <c r="P14" s="82">
        <v>59</v>
      </c>
      <c r="Q14" s="82">
        <v>65</v>
      </c>
      <c r="R14" s="84">
        <f>ROUND(Q14 - ABS(J14), 2)</f>
        <v>0</v>
      </c>
    </row>
    <row r="15" spans="1:18" x14ac:dyDescent="0.35">
      <c r="A15" s="41">
        <v>10673889</v>
      </c>
      <c r="B15" s="42" t="s">
        <v>90</v>
      </c>
      <c r="C15" s="11">
        <v>70</v>
      </c>
      <c r="D15" s="11">
        <v>53.5</v>
      </c>
      <c r="E15" s="3"/>
      <c r="F15" s="18">
        <v>10673889</v>
      </c>
      <c r="G15" s="9" t="s">
        <v>255</v>
      </c>
      <c r="H15" s="10">
        <v>70</v>
      </c>
      <c r="I15" s="10">
        <v>53.5</v>
      </c>
      <c r="J15" s="76">
        <v>61.75</v>
      </c>
      <c r="K15" s="2" t="s">
        <v>398</v>
      </c>
      <c r="L15" s="53">
        <v>61.75</v>
      </c>
      <c r="M15" s="80">
        <v>10673889</v>
      </c>
      <c r="N15" s="42" t="s">
        <v>409</v>
      </c>
      <c r="O15" s="82">
        <v>70</v>
      </c>
      <c r="P15" s="82">
        <v>53.5</v>
      </c>
      <c r="Q15" s="82">
        <v>61.75</v>
      </c>
      <c r="R15" s="84">
        <f>ROUND(Q15 - ABS(J15), 2)</f>
        <v>0</v>
      </c>
    </row>
    <row r="16" spans="1:18" x14ac:dyDescent="0.35">
      <c r="A16" s="41">
        <v>11606802</v>
      </c>
      <c r="B16" s="42" t="s">
        <v>91</v>
      </c>
      <c r="C16" s="11">
        <v>66.8</v>
      </c>
      <c r="D16" s="11">
        <v>62</v>
      </c>
      <c r="E16" s="3"/>
      <c r="F16" s="18">
        <v>11606802</v>
      </c>
      <c r="G16" s="9" t="s">
        <v>256</v>
      </c>
      <c r="H16" s="10">
        <v>66.8</v>
      </c>
      <c r="I16" s="10">
        <v>62</v>
      </c>
      <c r="J16" s="76">
        <v>64.400000000000006</v>
      </c>
      <c r="K16" s="2" t="s">
        <v>398</v>
      </c>
      <c r="L16" s="53">
        <v>64.400000000000006</v>
      </c>
      <c r="M16" s="80">
        <v>11606802</v>
      </c>
      <c r="N16" s="42" t="s">
        <v>256</v>
      </c>
      <c r="O16" s="82">
        <v>66.8</v>
      </c>
      <c r="P16" s="82">
        <v>62</v>
      </c>
      <c r="Q16" s="82">
        <v>64.400000000000006</v>
      </c>
      <c r="R16" s="84">
        <f>ROUND(Q16 - ABS(J16), 2)</f>
        <v>0</v>
      </c>
    </row>
    <row r="17" spans="1:18" x14ac:dyDescent="0.35">
      <c r="A17" s="41">
        <v>11606824</v>
      </c>
      <c r="B17" s="42" t="s">
        <v>92</v>
      </c>
      <c r="C17" s="11">
        <v>79</v>
      </c>
      <c r="D17" s="11">
        <v>61</v>
      </c>
      <c r="E17" s="3"/>
      <c r="F17" s="18">
        <v>11606824</v>
      </c>
      <c r="G17" s="9" t="s">
        <v>257</v>
      </c>
      <c r="H17" s="10">
        <v>79</v>
      </c>
      <c r="I17" s="10">
        <v>61</v>
      </c>
      <c r="J17" s="76">
        <v>70</v>
      </c>
      <c r="K17" s="2" t="s">
        <v>398</v>
      </c>
      <c r="L17" s="53">
        <v>70</v>
      </c>
      <c r="M17" s="80">
        <v>11606824</v>
      </c>
      <c r="N17" s="42" t="s">
        <v>428</v>
      </c>
      <c r="O17" s="82">
        <v>79</v>
      </c>
      <c r="P17" s="82">
        <v>61</v>
      </c>
      <c r="Q17" s="82">
        <v>70</v>
      </c>
      <c r="R17" s="84">
        <f>ROUND(Q17 - ABS(J17), 2)</f>
        <v>0</v>
      </c>
    </row>
    <row r="18" spans="1:18" x14ac:dyDescent="0.35">
      <c r="A18" s="41">
        <v>11606835</v>
      </c>
      <c r="B18" s="42" t="s">
        <v>93</v>
      </c>
      <c r="C18" s="11">
        <v>79</v>
      </c>
      <c r="D18" s="11">
        <v>76</v>
      </c>
      <c r="E18" s="3"/>
      <c r="F18" s="18">
        <v>11606835</v>
      </c>
      <c r="G18" s="9" t="s">
        <v>258</v>
      </c>
      <c r="H18" s="10">
        <v>79</v>
      </c>
      <c r="I18" s="10">
        <v>76</v>
      </c>
      <c r="J18" s="76">
        <v>77.5</v>
      </c>
      <c r="K18" s="2" t="s">
        <v>398</v>
      </c>
      <c r="L18" s="53">
        <v>77.5</v>
      </c>
      <c r="M18" s="80">
        <v>11606835</v>
      </c>
      <c r="N18" s="42" t="s">
        <v>410</v>
      </c>
      <c r="O18" s="82">
        <v>79</v>
      </c>
      <c r="P18" s="82">
        <v>76</v>
      </c>
      <c r="Q18" s="82">
        <v>77.5</v>
      </c>
      <c r="R18" s="84">
        <f>ROUND(Q18 - ABS(J18), 2)</f>
        <v>0</v>
      </c>
    </row>
    <row r="19" spans="1:18" x14ac:dyDescent="0.35">
      <c r="A19" s="41">
        <v>11606846</v>
      </c>
      <c r="B19" s="42" t="s">
        <v>94</v>
      </c>
      <c r="C19" s="11">
        <v>68</v>
      </c>
      <c r="D19" s="11">
        <v>65</v>
      </c>
      <c r="E19" s="3"/>
      <c r="F19" s="18">
        <v>11606846</v>
      </c>
      <c r="G19" s="9" t="s">
        <v>259</v>
      </c>
      <c r="H19" s="10">
        <v>68</v>
      </c>
      <c r="I19" s="10">
        <v>65</v>
      </c>
      <c r="J19" s="76">
        <v>66.5</v>
      </c>
      <c r="K19" s="2" t="s">
        <v>398</v>
      </c>
      <c r="L19" s="53">
        <v>66.5</v>
      </c>
      <c r="M19" s="80">
        <v>11606846</v>
      </c>
      <c r="N19" s="42" t="s">
        <v>411</v>
      </c>
      <c r="O19" s="82">
        <v>68</v>
      </c>
      <c r="P19" s="82">
        <v>65</v>
      </c>
      <c r="Q19" s="82">
        <v>66.5</v>
      </c>
      <c r="R19" s="84">
        <f>ROUND(Q19 - ABS(J19), 2)</f>
        <v>0</v>
      </c>
    </row>
    <row r="20" spans="1:18" x14ac:dyDescent="0.35">
      <c r="A20" s="41">
        <v>10447822</v>
      </c>
      <c r="B20" s="42" t="s">
        <v>95</v>
      </c>
      <c r="C20" s="11">
        <v>67</v>
      </c>
      <c r="D20" s="11">
        <v>53</v>
      </c>
      <c r="E20" s="3"/>
      <c r="F20" s="18">
        <v>10447822</v>
      </c>
      <c r="G20" s="9" t="s">
        <v>260</v>
      </c>
      <c r="H20" s="10">
        <v>67</v>
      </c>
      <c r="I20" s="10">
        <v>53</v>
      </c>
      <c r="J20" s="76">
        <v>60</v>
      </c>
      <c r="K20" s="2" t="s">
        <v>398</v>
      </c>
      <c r="L20" s="53">
        <v>60</v>
      </c>
      <c r="M20" s="80">
        <v>10447822</v>
      </c>
      <c r="N20" s="42" t="s">
        <v>421</v>
      </c>
      <c r="O20" s="82">
        <v>67</v>
      </c>
      <c r="P20" s="82">
        <v>53</v>
      </c>
      <c r="Q20" s="82">
        <v>60</v>
      </c>
      <c r="R20" s="84">
        <f>ROUND(Q20 - ABS(J20), 2)</f>
        <v>0</v>
      </c>
    </row>
    <row r="21" spans="1:18" x14ac:dyDescent="0.35">
      <c r="A21" s="41">
        <v>10673971</v>
      </c>
      <c r="B21" s="42" t="s">
        <v>96</v>
      </c>
      <c r="C21" s="11">
        <v>68</v>
      </c>
      <c r="D21" s="11">
        <v>52</v>
      </c>
      <c r="E21" s="3"/>
      <c r="F21" s="18">
        <v>10673971</v>
      </c>
      <c r="G21" s="9" t="s">
        <v>261</v>
      </c>
      <c r="H21" s="10">
        <v>68</v>
      </c>
      <c r="I21" s="10">
        <v>52</v>
      </c>
      <c r="J21" s="76">
        <v>60</v>
      </c>
      <c r="K21" s="2" t="s">
        <v>398</v>
      </c>
      <c r="L21" s="53">
        <v>60</v>
      </c>
      <c r="M21" s="80">
        <v>10673971</v>
      </c>
      <c r="N21" s="42" t="s">
        <v>425</v>
      </c>
      <c r="O21" s="82">
        <v>68</v>
      </c>
      <c r="P21" s="82">
        <v>52</v>
      </c>
      <c r="Q21" s="82">
        <v>60</v>
      </c>
      <c r="R21" s="84">
        <f>ROUND(Q21 - ABS(J21), 2)</f>
        <v>0</v>
      </c>
    </row>
    <row r="22" spans="1:18" x14ac:dyDescent="0.35">
      <c r="A22" s="41">
        <v>11606857</v>
      </c>
      <c r="B22" s="42" t="s">
        <v>97</v>
      </c>
      <c r="C22" s="11">
        <v>66</v>
      </c>
      <c r="D22" s="11">
        <v>70.5</v>
      </c>
      <c r="E22" s="3"/>
      <c r="F22" s="18">
        <v>11606857</v>
      </c>
      <c r="G22" s="9" t="s">
        <v>302</v>
      </c>
      <c r="H22" s="10">
        <v>66</v>
      </c>
      <c r="I22" s="10">
        <v>70.5</v>
      </c>
      <c r="J22" s="76">
        <v>68.25</v>
      </c>
      <c r="K22" s="2" t="s">
        <v>398</v>
      </c>
      <c r="L22" s="53">
        <v>68.25</v>
      </c>
      <c r="M22" s="80">
        <v>11606857</v>
      </c>
      <c r="N22" s="42" t="s">
        <v>302</v>
      </c>
      <c r="O22" s="82">
        <v>66</v>
      </c>
      <c r="P22" s="82">
        <v>70.5</v>
      </c>
      <c r="Q22" s="82">
        <v>68.25</v>
      </c>
      <c r="R22" s="84">
        <f>ROUND(Q22 - ABS(J22), 2)</f>
        <v>0</v>
      </c>
    </row>
    <row r="23" spans="1:18" x14ac:dyDescent="0.35">
      <c r="A23" s="41">
        <v>11323909</v>
      </c>
      <c r="B23" s="42" t="s">
        <v>98</v>
      </c>
      <c r="C23" s="11">
        <v>77</v>
      </c>
      <c r="D23" s="11">
        <v>63.5</v>
      </c>
      <c r="E23" s="3"/>
      <c r="F23" s="18">
        <v>11323909</v>
      </c>
      <c r="G23" s="9" t="s">
        <v>303</v>
      </c>
      <c r="H23" s="10">
        <v>77</v>
      </c>
      <c r="I23" s="10">
        <v>63.5</v>
      </c>
      <c r="J23" s="76">
        <v>70.25</v>
      </c>
      <c r="K23" s="2" t="s">
        <v>398</v>
      </c>
      <c r="L23" s="53">
        <v>70.25</v>
      </c>
      <c r="M23" s="80">
        <v>11323909</v>
      </c>
      <c r="N23" s="42" t="s">
        <v>412</v>
      </c>
      <c r="O23" s="82">
        <v>77</v>
      </c>
      <c r="P23" s="82">
        <v>63.5</v>
      </c>
      <c r="Q23" s="82">
        <v>70.25</v>
      </c>
      <c r="R23" s="84">
        <f>ROUND(Q23 - ABS(J23), 2)</f>
        <v>0</v>
      </c>
    </row>
    <row r="24" spans="1:18" x14ac:dyDescent="0.35">
      <c r="A24" s="41">
        <v>11606868</v>
      </c>
      <c r="B24" s="42" t="s">
        <v>305</v>
      </c>
      <c r="C24" s="11">
        <v>72.900000000000006</v>
      </c>
      <c r="D24" s="11">
        <v>50.5</v>
      </c>
      <c r="E24" s="3"/>
      <c r="F24" s="18">
        <v>11606868</v>
      </c>
      <c r="G24" s="9" t="s">
        <v>304</v>
      </c>
      <c r="H24" s="10">
        <v>72.900000000000006</v>
      </c>
      <c r="I24" s="10">
        <v>50.5</v>
      </c>
      <c r="J24" s="76">
        <v>61.7</v>
      </c>
      <c r="K24" s="2" t="s">
        <v>398</v>
      </c>
      <c r="L24" s="53">
        <v>61.7</v>
      </c>
      <c r="M24" s="80">
        <v>11606868</v>
      </c>
      <c r="N24" s="42" t="s">
        <v>422</v>
      </c>
      <c r="O24" s="82">
        <v>72.900000000000006</v>
      </c>
      <c r="P24" s="82">
        <v>50.5</v>
      </c>
      <c r="Q24" s="82">
        <v>61.7</v>
      </c>
      <c r="R24" s="84">
        <f>ROUND(Q24 - ABS(J24), 2)</f>
        <v>0</v>
      </c>
    </row>
    <row r="25" spans="1:18" x14ac:dyDescent="0.35">
      <c r="A25" s="41">
        <v>11323611</v>
      </c>
      <c r="B25" s="42" t="s">
        <v>149</v>
      </c>
      <c r="C25" s="11">
        <v>75</v>
      </c>
      <c r="D25" s="11">
        <v>74.5</v>
      </c>
      <c r="E25" s="3"/>
      <c r="F25" s="18">
        <v>11323611</v>
      </c>
      <c r="G25" s="9" t="s">
        <v>306</v>
      </c>
      <c r="H25" s="10">
        <v>75</v>
      </c>
      <c r="I25" s="10">
        <v>74.5</v>
      </c>
      <c r="J25" s="76">
        <v>74.75</v>
      </c>
      <c r="K25" s="2" t="s">
        <v>398</v>
      </c>
      <c r="L25" s="53">
        <v>74.75</v>
      </c>
      <c r="M25" s="80">
        <v>11323611</v>
      </c>
      <c r="N25" s="42" t="s">
        <v>413</v>
      </c>
      <c r="O25" s="82">
        <v>75</v>
      </c>
      <c r="P25" s="82">
        <v>74.5</v>
      </c>
      <c r="Q25" s="82">
        <v>74.75</v>
      </c>
      <c r="R25" s="84">
        <f>ROUND(Q25 - ABS(J25), 2)</f>
        <v>0</v>
      </c>
    </row>
    <row r="26" spans="1:18" x14ac:dyDescent="0.35">
      <c r="A26" s="41">
        <v>11606879</v>
      </c>
      <c r="B26" s="42" t="s">
        <v>100</v>
      </c>
      <c r="C26" s="11">
        <v>64</v>
      </c>
      <c r="D26" s="11">
        <v>62</v>
      </c>
      <c r="E26" s="3"/>
      <c r="F26" s="18">
        <v>11606879</v>
      </c>
      <c r="G26" s="9" t="s">
        <v>263</v>
      </c>
      <c r="H26" s="10">
        <v>64</v>
      </c>
      <c r="I26" s="10">
        <v>62</v>
      </c>
      <c r="J26" s="76">
        <v>63</v>
      </c>
      <c r="K26" s="2" t="s">
        <v>398</v>
      </c>
      <c r="L26" s="53">
        <v>63</v>
      </c>
      <c r="M26" s="80">
        <v>11606879</v>
      </c>
      <c r="N26" s="42" t="s">
        <v>414</v>
      </c>
      <c r="O26" s="82">
        <v>64</v>
      </c>
      <c r="P26" s="82">
        <v>62</v>
      </c>
      <c r="Q26" s="82">
        <v>63</v>
      </c>
      <c r="R26" s="84">
        <f>ROUND(Q26 - ABS(J26), 2)</f>
        <v>0</v>
      </c>
    </row>
    <row r="27" spans="1:18" x14ac:dyDescent="0.35">
      <c r="A27" s="41">
        <v>11606891</v>
      </c>
      <c r="B27" s="42" t="s">
        <v>101</v>
      </c>
      <c r="C27" s="11">
        <v>82</v>
      </c>
      <c r="D27" s="11">
        <v>87.5</v>
      </c>
      <c r="E27" s="3"/>
      <c r="F27" s="18">
        <v>11606891</v>
      </c>
      <c r="G27" s="9" t="s">
        <v>264</v>
      </c>
      <c r="H27" s="10">
        <v>82</v>
      </c>
      <c r="I27" s="10">
        <v>87.5</v>
      </c>
      <c r="J27" s="76">
        <v>84.75</v>
      </c>
      <c r="K27" s="2" t="s">
        <v>398</v>
      </c>
      <c r="L27" s="53">
        <v>84.75</v>
      </c>
      <c r="M27" s="80">
        <v>11606891</v>
      </c>
      <c r="N27" s="42" t="s">
        <v>264</v>
      </c>
      <c r="O27" s="82">
        <v>82</v>
      </c>
      <c r="P27" s="82">
        <v>87.5</v>
      </c>
      <c r="Q27" s="82">
        <v>84.75</v>
      </c>
      <c r="R27" s="84">
        <f>ROUND(Q27 - ABS(J27), 2)</f>
        <v>0</v>
      </c>
    </row>
    <row r="28" spans="1:18" x14ac:dyDescent="0.35">
      <c r="A28" s="41">
        <v>11606916</v>
      </c>
      <c r="B28" s="42" t="s">
        <v>102</v>
      </c>
      <c r="C28" s="11">
        <v>76</v>
      </c>
      <c r="D28" s="11">
        <v>81</v>
      </c>
      <c r="E28" s="3"/>
      <c r="F28" s="18">
        <v>11606916</v>
      </c>
      <c r="G28" s="9" t="s">
        <v>265</v>
      </c>
      <c r="H28" s="10">
        <v>76</v>
      </c>
      <c r="I28" s="10">
        <v>81</v>
      </c>
      <c r="J28" s="76">
        <v>78.5</v>
      </c>
      <c r="K28" s="2" t="s">
        <v>398</v>
      </c>
      <c r="L28" s="53">
        <v>78.5</v>
      </c>
      <c r="M28" s="80">
        <v>11606916</v>
      </c>
      <c r="N28" s="42" t="s">
        <v>265</v>
      </c>
      <c r="O28" s="82">
        <v>76</v>
      </c>
      <c r="P28" s="82">
        <v>81</v>
      </c>
      <c r="Q28" s="82">
        <v>78.5</v>
      </c>
      <c r="R28" s="84">
        <f>ROUND(Q28 - ABS(J28), 2)</f>
        <v>0</v>
      </c>
    </row>
    <row r="29" spans="1:18" x14ac:dyDescent="0.35">
      <c r="A29" s="41">
        <v>11323644</v>
      </c>
      <c r="B29" s="42" t="s">
        <v>103</v>
      </c>
      <c r="C29" s="11">
        <v>69</v>
      </c>
      <c r="D29" s="11">
        <v>53.5</v>
      </c>
      <c r="E29" s="3"/>
      <c r="F29" s="18">
        <v>11323644</v>
      </c>
      <c r="G29" s="9" t="s">
        <v>266</v>
      </c>
      <c r="H29" s="10">
        <v>69</v>
      </c>
      <c r="I29" s="10">
        <v>53.5</v>
      </c>
      <c r="J29" s="76">
        <v>61.25</v>
      </c>
      <c r="K29" s="2" t="s">
        <v>398</v>
      </c>
      <c r="L29" s="53">
        <v>61.25</v>
      </c>
      <c r="M29" s="80">
        <v>11323644</v>
      </c>
      <c r="N29" s="42" t="s">
        <v>415</v>
      </c>
      <c r="O29" s="82">
        <v>69</v>
      </c>
      <c r="P29" s="82">
        <v>53.5</v>
      </c>
      <c r="Q29" s="82">
        <v>61.25</v>
      </c>
      <c r="R29" s="84">
        <f>ROUND(Q29 - ABS(J29), 2)</f>
        <v>0</v>
      </c>
    </row>
    <row r="30" spans="1:18" x14ac:dyDescent="0.35">
      <c r="A30" s="41">
        <v>11323677</v>
      </c>
      <c r="B30" s="42" t="s">
        <v>104</v>
      </c>
      <c r="C30" s="11">
        <v>68</v>
      </c>
      <c r="D30" s="11">
        <v>39</v>
      </c>
      <c r="E30" s="3"/>
      <c r="F30" s="18">
        <v>11323677</v>
      </c>
      <c r="G30" s="9" t="s">
        <v>267</v>
      </c>
      <c r="H30" s="10">
        <v>68</v>
      </c>
      <c r="I30" s="10">
        <v>39</v>
      </c>
      <c r="J30" s="76">
        <v>53.5</v>
      </c>
      <c r="K30" s="2" t="s">
        <v>398</v>
      </c>
      <c r="L30" s="53">
        <v>53.5</v>
      </c>
      <c r="M30" s="80">
        <v>11323677</v>
      </c>
      <c r="N30" s="42" t="s">
        <v>416</v>
      </c>
      <c r="O30" s="82">
        <v>68</v>
      </c>
      <c r="P30" s="82">
        <v>39</v>
      </c>
      <c r="Q30" s="82">
        <v>53.5</v>
      </c>
      <c r="R30" s="84">
        <f>ROUND(Q30 - ABS(J30), 2)</f>
        <v>0</v>
      </c>
    </row>
    <row r="31" spans="1:18" x14ac:dyDescent="0.35">
      <c r="A31" s="41">
        <v>11606927</v>
      </c>
      <c r="B31" s="42" t="s">
        <v>105</v>
      </c>
      <c r="C31" s="11">
        <v>75</v>
      </c>
      <c r="D31" s="11">
        <v>51.5</v>
      </c>
      <c r="E31" s="3"/>
      <c r="F31" s="18">
        <v>11606927</v>
      </c>
      <c r="G31" s="9" t="s">
        <v>307</v>
      </c>
      <c r="H31" s="10">
        <v>75</v>
      </c>
      <c r="I31" s="10">
        <v>51.5</v>
      </c>
      <c r="J31" s="76">
        <v>63.25</v>
      </c>
      <c r="K31" s="2" t="s">
        <v>398</v>
      </c>
      <c r="L31" s="53">
        <v>63.25</v>
      </c>
      <c r="M31" s="80">
        <v>11606927</v>
      </c>
      <c r="N31" s="42" t="s">
        <v>307</v>
      </c>
      <c r="O31" s="82">
        <v>75</v>
      </c>
      <c r="P31" s="82">
        <v>51.5</v>
      </c>
      <c r="Q31" s="82">
        <v>63.25</v>
      </c>
      <c r="R31" s="84">
        <f>ROUND(Q31 - ABS(J31), 2)</f>
        <v>0</v>
      </c>
    </row>
    <row r="32" spans="1:18" x14ac:dyDescent="0.35">
      <c r="A32" s="41">
        <v>11323688</v>
      </c>
      <c r="B32" s="42" t="s">
        <v>106</v>
      </c>
      <c r="C32" s="11">
        <v>73</v>
      </c>
      <c r="D32" s="11">
        <v>50</v>
      </c>
      <c r="E32" s="3"/>
      <c r="F32" s="18">
        <v>11323688</v>
      </c>
      <c r="G32" s="9" t="s">
        <v>268</v>
      </c>
      <c r="H32" s="10">
        <v>73</v>
      </c>
      <c r="I32" s="10">
        <v>50</v>
      </c>
      <c r="J32" s="76">
        <v>61.5</v>
      </c>
      <c r="K32" s="2" t="s">
        <v>398</v>
      </c>
      <c r="L32" s="53">
        <v>61.5</v>
      </c>
      <c r="M32" s="80">
        <v>11323688</v>
      </c>
      <c r="N32" s="42" t="s">
        <v>418</v>
      </c>
      <c r="O32" s="82">
        <v>73</v>
      </c>
      <c r="P32" s="82">
        <v>50</v>
      </c>
      <c r="Q32" s="82">
        <v>61.5</v>
      </c>
      <c r="R32" s="84">
        <f>ROUND(Q32 - ABS(J32), 2)</f>
        <v>0</v>
      </c>
    </row>
    <row r="33" spans="1:18" x14ac:dyDescent="0.35">
      <c r="A33" s="41">
        <v>11606938</v>
      </c>
      <c r="B33" s="42" t="s">
        <v>107</v>
      </c>
      <c r="C33" s="11">
        <v>66</v>
      </c>
      <c r="D33" s="11">
        <v>83</v>
      </c>
      <c r="E33" s="3"/>
      <c r="F33" s="18">
        <v>11606938</v>
      </c>
      <c r="G33" s="9" t="s">
        <v>269</v>
      </c>
      <c r="H33" s="10">
        <v>66</v>
      </c>
      <c r="I33" s="10">
        <v>83</v>
      </c>
      <c r="J33" s="76">
        <v>74.5</v>
      </c>
      <c r="K33" s="2" t="s">
        <v>398</v>
      </c>
      <c r="L33" s="53">
        <v>74.5</v>
      </c>
      <c r="M33" s="80">
        <v>11606938</v>
      </c>
      <c r="N33" s="42" t="s">
        <v>269</v>
      </c>
      <c r="O33" s="82">
        <v>66</v>
      </c>
      <c r="P33" s="82">
        <v>83</v>
      </c>
      <c r="Q33" s="82">
        <v>74.5</v>
      </c>
      <c r="R33" s="84">
        <f>ROUND(Q33 - ABS(J33), 2)</f>
        <v>0</v>
      </c>
    </row>
    <row r="34" spans="1:18" x14ac:dyDescent="0.35">
      <c r="A34" s="41">
        <v>11323703</v>
      </c>
      <c r="B34" s="42" t="s">
        <v>108</v>
      </c>
      <c r="C34" s="11">
        <v>69.599999999999994</v>
      </c>
      <c r="D34" s="11">
        <v>60</v>
      </c>
      <c r="E34" s="3"/>
      <c r="F34" s="18">
        <v>11323703</v>
      </c>
      <c r="G34" s="9" t="s">
        <v>270</v>
      </c>
      <c r="H34" s="10">
        <v>69.599999999999994</v>
      </c>
      <c r="I34" s="10">
        <v>60</v>
      </c>
      <c r="J34" s="76">
        <v>64.8</v>
      </c>
      <c r="K34" s="2" t="s">
        <v>398</v>
      </c>
      <c r="L34" s="53">
        <v>64.8</v>
      </c>
      <c r="M34" s="80">
        <v>11323703</v>
      </c>
      <c r="N34" s="42" t="s">
        <v>419</v>
      </c>
      <c r="O34" s="82">
        <v>69.599999999999994</v>
      </c>
      <c r="P34" s="82">
        <v>60</v>
      </c>
      <c r="Q34" s="82">
        <v>64.8</v>
      </c>
      <c r="R34" s="84">
        <f>ROUND(Q34 - ABS(J34), 2)</f>
        <v>0</v>
      </c>
    </row>
    <row r="35" spans="1:18" x14ac:dyDescent="0.35">
      <c r="A35" s="41">
        <v>10447796</v>
      </c>
      <c r="B35" s="42" t="s">
        <v>80</v>
      </c>
      <c r="C35" s="11">
        <v>79</v>
      </c>
      <c r="D35" s="11">
        <v>41.5</v>
      </c>
      <c r="E35" s="3"/>
      <c r="F35" s="18">
        <v>10447796</v>
      </c>
      <c r="G35" s="9" t="s">
        <v>250</v>
      </c>
      <c r="H35" s="10">
        <v>79</v>
      </c>
      <c r="I35" s="10">
        <v>41.5</v>
      </c>
      <c r="J35" s="76">
        <v>60.25</v>
      </c>
      <c r="K35" s="2" t="s">
        <v>398</v>
      </c>
      <c r="L35" s="53">
        <v>60.25</v>
      </c>
      <c r="M35" s="80">
        <v>10447796</v>
      </c>
      <c r="N35" s="42" t="s">
        <v>404</v>
      </c>
      <c r="O35" s="82">
        <v>79</v>
      </c>
      <c r="P35" s="82">
        <v>41.5</v>
      </c>
      <c r="Q35" s="82">
        <v>60.25</v>
      </c>
      <c r="R35" s="84">
        <f>ROUND(Q35 - ABS(J35), 2)</f>
        <v>0</v>
      </c>
    </row>
    <row r="36" spans="1:18" x14ac:dyDescent="0.35">
      <c r="A36" s="41">
        <v>11606949</v>
      </c>
      <c r="B36" s="42" t="s">
        <v>109</v>
      </c>
      <c r="C36" s="11">
        <v>72.7</v>
      </c>
      <c r="D36" s="11">
        <v>39.5</v>
      </c>
      <c r="E36" s="3"/>
      <c r="F36" s="18">
        <v>11606949</v>
      </c>
      <c r="G36" s="9" t="s">
        <v>271</v>
      </c>
      <c r="H36" s="10">
        <v>72.7</v>
      </c>
      <c r="I36" s="10">
        <v>39.5</v>
      </c>
      <c r="J36" s="76">
        <v>56.1</v>
      </c>
      <c r="K36" s="2" t="s">
        <v>398</v>
      </c>
      <c r="L36" s="53">
        <v>56.1</v>
      </c>
      <c r="M36" s="80">
        <v>11606949</v>
      </c>
      <c r="N36" s="42" t="s">
        <v>271</v>
      </c>
      <c r="O36" s="82">
        <v>72.7</v>
      </c>
      <c r="P36" s="82">
        <v>39.5</v>
      </c>
      <c r="Q36" s="82">
        <v>56.1</v>
      </c>
      <c r="R36" s="84">
        <f>ROUND(Q36 - ABS(J36), 2)</f>
        <v>0</v>
      </c>
    </row>
    <row r="37" spans="1:18" x14ac:dyDescent="0.35">
      <c r="A37" s="41">
        <v>11606950</v>
      </c>
      <c r="B37" s="42" t="s">
        <v>110</v>
      </c>
      <c r="C37" s="11">
        <v>74</v>
      </c>
      <c r="D37" s="11">
        <v>68.5</v>
      </c>
      <c r="E37" s="3"/>
      <c r="F37" s="18">
        <v>11606950</v>
      </c>
      <c r="G37" s="9" t="s">
        <v>272</v>
      </c>
      <c r="H37" s="10">
        <v>74</v>
      </c>
      <c r="I37" s="10">
        <v>68.5</v>
      </c>
      <c r="J37" s="76">
        <v>71.25</v>
      </c>
      <c r="K37" s="2" t="s">
        <v>398</v>
      </c>
      <c r="L37" s="53">
        <v>71.25</v>
      </c>
      <c r="M37" s="80">
        <v>11606950</v>
      </c>
      <c r="N37" s="42" t="s">
        <v>272</v>
      </c>
      <c r="O37" s="82">
        <v>74</v>
      </c>
      <c r="P37" s="82">
        <v>68.5</v>
      </c>
      <c r="Q37" s="82">
        <v>71.25</v>
      </c>
      <c r="R37" s="84">
        <f>ROUND(Q37 - ABS(J37), 2)</f>
        <v>0</v>
      </c>
    </row>
    <row r="38" spans="1:18" x14ac:dyDescent="0.35">
      <c r="A38" s="41">
        <v>11606961</v>
      </c>
      <c r="B38" s="42" t="s">
        <v>111</v>
      </c>
      <c r="C38" s="11">
        <v>74</v>
      </c>
      <c r="D38" s="11">
        <v>78</v>
      </c>
      <c r="E38" s="3"/>
      <c r="F38" s="18">
        <v>11606961</v>
      </c>
      <c r="G38" s="9" t="s">
        <v>273</v>
      </c>
      <c r="H38" s="10">
        <v>74</v>
      </c>
      <c r="I38" s="10">
        <v>78</v>
      </c>
      <c r="J38" s="76">
        <v>76</v>
      </c>
      <c r="K38" s="2" t="s">
        <v>398</v>
      </c>
      <c r="L38" s="53">
        <v>76</v>
      </c>
      <c r="M38" s="80">
        <v>11606961</v>
      </c>
      <c r="N38" s="42" t="s">
        <v>423</v>
      </c>
      <c r="O38" s="82">
        <v>74</v>
      </c>
      <c r="P38" s="82">
        <v>78</v>
      </c>
      <c r="Q38" s="82">
        <v>76</v>
      </c>
      <c r="R38" s="84">
        <f>ROUND(Q38 - ABS(J38), 2)</f>
        <v>0</v>
      </c>
    </row>
    <row r="39" spans="1:18" x14ac:dyDescent="0.35">
      <c r="A39" s="41">
        <v>10673926</v>
      </c>
      <c r="B39" s="42" t="s">
        <v>112</v>
      </c>
      <c r="C39" s="11">
        <v>70</v>
      </c>
      <c r="D39" s="11">
        <v>35</v>
      </c>
      <c r="E39" s="3"/>
      <c r="F39" s="18">
        <v>10673926</v>
      </c>
      <c r="G39" s="9" t="s">
        <v>274</v>
      </c>
      <c r="H39" s="10">
        <v>70</v>
      </c>
      <c r="I39" s="10">
        <v>35</v>
      </c>
      <c r="J39" s="76">
        <v>52.5</v>
      </c>
      <c r="K39" s="2" t="s">
        <v>398</v>
      </c>
      <c r="L39" s="53">
        <v>52.5</v>
      </c>
      <c r="M39" s="80">
        <v>10673926</v>
      </c>
      <c r="N39" s="42" t="s">
        <v>424</v>
      </c>
      <c r="O39" s="82">
        <v>70</v>
      </c>
      <c r="P39" s="82">
        <v>35</v>
      </c>
      <c r="Q39" s="82">
        <v>52.5</v>
      </c>
      <c r="R39" s="84">
        <f>ROUND(Q39 - ABS(J39), 2)</f>
        <v>0</v>
      </c>
    </row>
    <row r="40" spans="1:18" x14ac:dyDescent="0.35">
      <c r="A40" s="41">
        <v>11606972</v>
      </c>
      <c r="B40" s="42" t="s">
        <v>113</v>
      </c>
      <c r="C40" s="11">
        <v>82</v>
      </c>
      <c r="D40" s="11">
        <v>74.5</v>
      </c>
      <c r="E40" s="3"/>
      <c r="F40" s="18">
        <v>11606972</v>
      </c>
      <c r="G40" s="9" t="s">
        <v>275</v>
      </c>
      <c r="H40" s="10">
        <v>82</v>
      </c>
      <c r="I40" s="10">
        <v>74.5</v>
      </c>
      <c r="J40" s="76">
        <v>78.25</v>
      </c>
      <c r="K40" s="2" t="s">
        <v>398</v>
      </c>
      <c r="L40" s="53">
        <v>78.25</v>
      </c>
      <c r="M40" s="80">
        <v>11606972</v>
      </c>
      <c r="N40" s="42" t="s">
        <v>275</v>
      </c>
      <c r="O40" s="82">
        <v>82</v>
      </c>
      <c r="P40" s="82">
        <v>74.5</v>
      </c>
      <c r="Q40" s="82">
        <v>78.25</v>
      </c>
      <c r="R40" s="84">
        <f>ROUND(Q40 - ABS(J40), 2)</f>
        <v>0</v>
      </c>
    </row>
    <row r="41" spans="1:18" x14ac:dyDescent="0.35">
      <c r="A41" s="41">
        <v>11606983</v>
      </c>
      <c r="B41" s="42" t="s">
        <v>114</v>
      </c>
      <c r="C41" s="11">
        <v>75</v>
      </c>
      <c r="D41" s="11">
        <v>66</v>
      </c>
      <c r="E41" s="3"/>
      <c r="F41" s="18">
        <v>11606983</v>
      </c>
      <c r="G41" s="9" t="s">
        <v>276</v>
      </c>
      <c r="H41" s="10">
        <v>75</v>
      </c>
      <c r="I41" s="10">
        <v>66</v>
      </c>
      <c r="J41" s="76">
        <v>70.5</v>
      </c>
      <c r="K41" s="2" t="s">
        <v>398</v>
      </c>
      <c r="L41" s="53">
        <v>70.5</v>
      </c>
      <c r="M41" s="80">
        <v>11606983</v>
      </c>
      <c r="N41" s="42" t="s">
        <v>276</v>
      </c>
      <c r="O41" s="82">
        <v>75</v>
      </c>
      <c r="P41" s="82">
        <v>66</v>
      </c>
      <c r="Q41" s="82">
        <v>70.5</v>
      </c>
      <c r="R41" s="84">
        <f>ROUND(Q41 - ABS(J41), 2)</f>
        <v>0</v>
      </c>
    </row>
    <row r="42" spans="1:18" x14ac:dyDescent="0.35">
      <c r="A42" s="41">
        <v>10673948</v>
      </c>
      <c r="B42" s="42" t="s">
        <v>115</v>
      </c>
      <c r="C42" s="11">
        <v>70</v>
      </c>
      <c r="D42" s="11">
        <v>56.5</v>
      </c>
      <c r="E42" s="3"/>
      <c r="F42" s="18">
        <v>10673948</v>
      </c>
      <c r="G42" s="9" t="s">
        <v>277</v>
      </c>
      <c r="H42" s="10">
        <v>70</v>
      </c>
      <c r="I42" s="10">
        <v>56.5</v>
      </c>
      <c r="J42" s="76">
        <v>63.25</v>
      </c>
      <c r="K42" s="2" t="s">
        <v>398</v>
      </c>
      <c r="L42" s="53">
        <v>63.25</v>
      </c>
      <c r="M42" s="80">
        <v>10673948</v>
      </c>
      <c r="N42" s="42" t="s">
        <v>426</v>
      </c>
      <c r="O42" s="82">
        <v>70</v>
      </c>
      <c r="P42" s="82">
        <v>56.5</v>
      </c>
      <c r="Q42" s="82">
        <v>63.25</v>
      </c>
      <c r="R42" s="84">
        <f>ROUND(Q42 - ABS(J42), 2)</f>
        <v>0</v>
      </c>
    </row>
    <row r="43" spans="1:18" x14ac:dyDescent="0.35">
      <c r="A43" s="41">
        <v>11606994</v>
      </c>
      <c r="B43" s="42" t="s">
        <v>116</v>
      </c>
      <c r="C43" s="11">
        <v>67.7</v>
      </c>
      <c r="D43" s="11">
        <v>46</v>
      </c>
      <c r="E43" s="3"/>
      <c r="F43" s="18">
        <v>11606994</v>
      </c>
      <c r="G43" s="9" t="s">
        <v>308</v>
      </c>
      <c r="H43" s="10">
        <v>67.7</v>
      </c>
      <c r="I43" s="10">
        <v>46</v>
      </c>
      <c r="J43" s="76">
        <v>56.85</v>
      </c>
      <c r="K43" s="2" t="s">
        <v>398</v>
      </c>
      <c r="L43" s="53">
        <v>56.85</v>
      </c>
      <c r="M43" s="80">
        <v>11606994</v>
      </c>
      <c r="N43" s="42" t="s">
        <v>308</v>
      </c>
      <c r="O43" s="82">
        <v>67.7</v>
      </c>
      <c r="P43" s="82">
        <v>46</v>
      </c>
      <c r="Q43" s="82">
        <v>56.85</v>
      </c>
      <c r="R43" s="84">
        <f>ROUND(Q43 - ABS(J43), 2)</f>
        <v>0</v>
      </c>
    </row>
    <row r="44" spans="1:18" x14ac:dyDescent="0.35">
      <c r="A44" s="41">
        <v>11323714</v>
      </c>
      <c r="B44" s="42" t="s">
        <v>117</v>
      </c>
      <c r="C44" s="11">
        <v>70</v>
      </c>
      <c r="D44" s="11">
        <v>63</v>
      </c>
      <c r="E44" s="3"/>
      <c r="F44" s="18">
        <v>11323714</v>
      </c>
      <c r="G44" s="9" t="s">
        <v>278</v>
      </c>
      <c r="H44" s="10">
        <v>70</v>
      </c>
      <c r="I44" s="10">
        <v>63</v>
      </c>
      <c r="J44" s="76">
        <v>66.5</v>
      </c>
      <c r="K44" s="2" t="s">
        <v>398</v>
      </c>
      <c r="L44" s="53">
        <v>66.5</v>
      </c>
      <c r="M44" s="80">
        <v>11323714</v>
      </c>
      <c r="N44" s="42" t="s">
        <v>431</v>
      </c>
      <c r="O44" s="82">
        <v>70</v>
      </c>
      <c r="P44" s="82">
        <v>63</v>
      </c>
      <c r="Q44" s="82">
        <v>66.5</v>
      </c>
      <c r="R44" s="84">
        <f>ROUND(Q44 - ABS(J44), 2)</f>
        <v>0</v>
      </c>
    </row>
    <row r="45" spans="1:18" x14ac:dyDescent="0.35">
      <c r="A45" s="41">
        <v>11607005</v>
      </c>
      <c r="B45" s="42" t="s">
        <v>118</v>
      </c>
      <c r="C45" s="11">
        <v>79</v>
      </c>
      <c r="D45" s="11">
        <v>57.5</v>
      </c>
      <c r="E45" s="3"/>
      <c r="F45" s="18">
        <v>11607005</v>
      </c>
      <c r="G45" s="9" t="s">
        <v>279</v>
      </c>
      <c r="H45" s="10">
        <v>79</v>
      </c>
      <c r="I45" s="10">
        <v>57.5</v>
      </c>
      <c r="J45" s="76">
        <v>68.25</v>
      </c>
      <c r="K45" s="2" t="s">
        <v>398</v>
      </c>
      <c r="L45" s="53">
        <v>68.25</v>
      </c>
      <c r="M45" s="80">
        <v>11607005</v>
      </c>
      <c r="N45" s="42" t="s">
        <v>429</v>
      </c>
      <c r="O45" s="82">
        <v>79</v>
      </c>
      <c r="P45" s="82">
        <v>57.5</v>
      </c>
      <c r="Q45" s="82">
        <v>68.25</v>
      </c>
      <c r="R45" s="84">
        <f>ROUND(Q45 - ABS(J45), 2)</f>
        <v>0</v>
      </c>
    </row>
    <row r="46" spans="1:18" x14ac:dyDescent="0.35">
      <c r="A46" s="41">
        <v>11607016</v>
      </c>
      <c r="B46" s="42" t="s">
        <v>119</v>
      </c>
      <c r="C46" s="11">
        <v>70.3</v>
      </c>
      <c r="D46" s="11">
        <v>48</v>
      </c>
      <c r="E46" s="3"/>
      <c r="F46" s="18">
        <v>11607016</v>
      </c>
      <c r="G46" s="9" t="s">
        <v>280</v>
      </c>
      <c r="H46" s="10">
        <v>70.3</v>
      </c>
      <c r="I46" s="10">
        <v>48</v>
      </c>
      <c r="J46" s="76">
        <v>59.15</v>
      </c>
      <c r="K46" s="2" t="s">
        <v>398</v>
      </c>
      <c r="L46" s="53">
        <v>59.15</v>
      </c>
      <c r="M46" s="80">
        <v>11607016</v>
      </c>
      <c r="N46" s="42" t="s">
        <v>430</v>
      </c>
      <c r="O46" s="82">
        <v>70.3</v>
      </c>
      <c r="P46" s="82">
        <v>48</v>
      </c>
      <c r="Q46" s="82">
        <v>59.15</v>
      </c>
      <c r="R46" s="84">
        <f>ROUND(Q46 - ABS(J46), 2)</f>
        <v>0</v>
      </c>
    </row>
    <row r="47" spans="1:18" x14ac:dyDescent="0.35">
      <c r="A47" s="41">
        <v>11607027</v>
      </c>
      <c r="B47" s="42" t="s">
        <v>121</v>
      </c>
      <c r="C47" s="11">
        <v>79</v>
      </c>
      <c r="D47" s="11">
        <v>83</v>
      </c>
      <c r="E47" s="3"/>
      <c r="F47" s="18">
        <v>11607027</v>
      </c>
      <c r="G47" s="9" t="s">
        <v>282</v>
      </c>
      <c r="H47" s="10">
        <v>79</v>
      </c>
      <c r="I47" s="10">
        <v>83</v>
      </c>
      <c r="J47" s="76">
        <v>81</v>
      </c>
      <c r="K47" s="2" t="s">
        <v>398</v>
      </c>
      <c r="L47" s="53">
        <v>81</v>
      </c>
      <c r="M47" s="80">
        <v>11607027</v>
      </c>
      <c r="N47" s="42" t="s">
        <v>282</v>
      </c>
      <c r="O47" s="82">
        <v>79</v>
      </c>
      <c r="P47" s="82">
        <v>83</v>
      </c>
      <c r="Q47" s="82">
        <v>81</v>
      </c>
      <c r="R47" s="84">
        <f>ROUND(Q47 - ABS(J47), 2)</f>
        <v>0</v>
      </c>
    </row>
    <row r="48" spans="1:18" x14ac:dyDescent="0.35">
      <c r="A48" s="41">
        <v>11607049</v>
      </c>
      <c r="B48" s="42" t="s">
        <v>122</v>
      </c>
      <c r="C48" s="11">
        <v>76</v>
      </c>
      <c r="D48" s="11">
        <v>82</v>
      </c>
      <c r="E48" s="3"/>
      <c r="F48" s="18">
        <v>11607049</v>
      </c>
      <c r="G48" s="9" t="s">
        <v>284</v>
      </c>
      <c r="H48" s="10">
        <v>76</v>
      </c>
      <c r="I48" s="10">
        <v>82</v>
      </c>
      <c r="J48" s="76">
        <v>79</v>
      </c>
      <c r="K48" s="2" t="s">
        <v>398</v>
      </c>
      <c r="L48" s="53">
        <v>77</v>
      </c>
      <c r="M48" s="80">
        <v>11607049</v>
      </c>
      <c r="N48" s="42" t="s">
        <v>284</v>
      </c>
      <c r="O48" s="82">
        <v>76</v>
      </c>
      <c r="P48" s="82">
        <v>82</v>
      </c>
      <c r="Q48" s="82">
        <v>79</v>
      </c>
      <c r="R48" s="85">
        <f>ROUND(Q48 - ABS(J48), 2)</f>
        <v>0</v>
      </c>
    </row>
    <row r="49" spans="1:18" x14ac:dyDescent="0.35">
      <c r="A49" s="41">
        <v>11607038</v>
      </c>
      <c r="B49" s="42" t="s">
        <v>123</v>
      </c>
      <c r="C49" s="11">
        <v>82</v>
      </c>
      <c r="D49" s="11">
        <v>72</v>
      </c>
      <c r="E49" s="3"/>
      <c r="F49" s="19">
        <v>11607038</v>
      </c>
      <c r="G49" s="1" t="s">
        <v>283</v>
      </c>
      <c r="H49" s="12">
        <v>82</v>
      </c>
      <c r="I49" s="12">
        <v>72</v>
      </c>
      <c r="J49" s="77">
        <v>77</v>
      </c>
      <c r="K49" s="2" t="s">
        <v>398</v>
      </c>
      <c r="L49" s="53">
        <v>79</v>
      </c>
      <c r="M49" s="80">
        <v>11607038</v>
      </c>
      <c r="N49" s="42" t="s">
        <v>432</v>
      </c>
      <c r="O49" s="82">
        <v>82</v>
      </c>
      <c r="P49" s="82">
        <v>72</v>
      </c>
      <c r="Q49" s="82">
        <v>77</v>
      </c>
      <c r="R49" s="85">
        <f>ROUND(Q49 - ABS(J49), 2)</f>
        <v>0</v>
      </c>
    </row>
    <row r="50" spans="1:18" x14ac:dyDescent="0.35">
      <c r="A50" s="41">
        <v>11607050</v>
      </c>
      <c r="B50" s="42" t="s">
        <v>124</v>
      </c>
      <c r="C50" s="11">
        <v>82</v>
      </c>
      <c r="D50" s="11">
        <v>89</v>
      </c>
      <c r="E50" s="3"/>
      <c r="F50" s="19">
        <v>11607050</v>
      </c>
      <c r="G50" s="1" t="s">
        <v>285</v>
      </c>
      <c r="H50" s="12">
        <v>82</v>
      </c>
      <c r="I50" s="12">
        <v>89</v>
      </c>
      <c r="J50" s="77">
        <v>85.5</v>
      </c>
      <c r="K50" s="2" t="s">
        <v>398</v>
      </c>
      <c r="L50" s="53">
        <v>85.5</v>
      </c>
      <c r="M50" s="80">
        <v>11607050</v>
      </c>
      <c r="N50" s="42" t="s">
        <v>285</v>
      </c>
      <c r="O50" s="82">
        <v>82</v>
      </c>
      <c r="P50" s="82">
        <v>89</v>
      </c>
      <c r="Q50" s="82">
        <v>85.5</v>
      </c>
      <c r="R50" s="84">
        <f>ROUND(Q50 - ABS(J50), 2)</f>
        <v>0</v>
      </c>
    </row>
    <row r="51" spans="1:18" x14ac:dyDescent="0.35">
      <c r="A51" s="41">
        <v>11323758</v>
      </c>
      <c r="B51" s="42" t="s">
        <v>125</v>
      </c>
      <c r="C51" s="11">
        <v>64.8</v>
      </c>
      <c r="D51" s="11">
        <v>23.4</v>
      </c>
      <c r="E51" s="3"/>
      <c r="F51" s="19">
        <v>11323758</v>
      </c>
      <c r="G51" s="1" t="s">
        <v>286</v>
      </c>
      <c r="H51" s="12">
        <v>64.8</v>
      </c>
      <c r="I51" s="12">
        <v>23.4</v>
      </c>
      <c r="J51" s="77">
        <v>-44.55</v>
      </c>
      <c r="K51" s="2" t="s">
        <v>398</v>
      </c>
      <c r="L51" s="53">
        <v>44.55</v>
      </c>
      <c r="M51" s="80">
        <v>11323758</v>
      </c>
      <c r="N51" s="42" t="s">
        <v>433</v>
      </c>
      <c r="O51" s="82">
        <v>64.8</v>
      </c>
      <c r="P51" s="82">
        <v>23.4</v>
      </c>
      <c r="Q51" s="82">
        <v>44.1</v>
      </c>
      <c r="R51" s="85">
        <f>ROUND(Q51 - ABS(J51), 2)</f>
        <v>-0.45</v>
      </c>
    </row>
    <row r="52" spans="1:18" x14ac:dyDescent="0.35">
      <c r="A52" s="41">
        <v>11607061</v>
      </c>
      <c r="B52" s="42" t="s">
        <v>126</v>
      </c>
      <c r="C52" s="11">
        <v>76</v>
      </c>
      <c r="D52" s="11">
        <v>68</v>
      </c>
      <c r="E52" s="3"/>
      <c r="F52" s="19">
        <v>11607061</v>
      </c>
      <c r="G52" s="1" t="s">
        <v>287</v>
      </c>
      <c r="H52" s="12">
        <v>76</v>
      </c>
      <c r="I52" s="12">
        <v>68</v>
      </c>
      <c r="J52" s="77">
        <v>72</v>
      </c>
      <c r="K52" s="2" t="s">
        <v>398</v>
      </c>
      <c r="L52" s="53">
        <v>72</v>
      </c>
      <c r="M52" s="80">
        <v>11607061</v>
      </c>
      <c r="N52" s="42" t="s">
        <v>287</v>
      </c>
      <c r="O52" s="82">
        <v>76</v>
      </c>
      <c r="P52" s="82">
        <v>68</v>
      </c>
      <c r="Q52" s="82">
        <v>72</v>
      </c>
      <c r="R52" s="84">
        <f>ROUND(Q52 - ABS(J52), 2)</f>
        <v>0</v>
      </c>
    </row>
    <row r="53" spans="1:18" x14ac:dyDescent="0.35">
      <c r="A53" s="41">
        <v>11323817</v>
      </c>
      <c r="B53" s="42" t="s">
        <v>127</v>
      </c>
      <c r="C53" s="11">
        <v>77</v>
      </c>
      <c r="D53" s="11">
        <v>27.5</v>
      </c>
      <c r="E53" s="3"/>
      <c r="F53" s="19">
        <v>11323817</v>
      </c>
      <c r="G53" s="1" t="s">
        <v>288</v>
      </c>
      <c r="H53" s="12">
        <v>77</v>
      </c>
      <c r="I53" s="12">
        <v>27.5</v>
      </c>
      <c r="J53" s="77">
        <v>-52.25</v>
      </c>
      <c r="K53" s="2" t="s">
        <v>398</v>
      </c>
      <c r="L53" s="53">
        <v>52.25</v>
      </c>
      <c r="M53" s="80">
        <v>11323817</v>
      </c>
      <c r="N53" s="42" t="s">
        <v>427</v>
      </c>
      <c r="O53" s="82">
        <v>77</v>
      </c>
      <c r="P53" s="82">
        <v>27.5</v>
      </c>
      <c r="Q53" s="82">
        <v>52.25</v>
      </c>
      <c r="R53" s="84">
        <f>ROUND(Q53 - ABS(J53), 2)</f>
        <v>0</v>
      </c>
    </row>
    <row r="54" spans="1:18" x14ac:dyDescent="0.35">
      <c r="A54" s="41">
        <v>11323828</v>
      </c>
      <c r="B54" s="42" t="s">
        <v>128</v>
      </c>
      <c r="C54" s="11">
        <v>66.5</v>
      </c>
      <c r="D54" s="11">
        <v>44</v>
      </c>
      <c r="E54" s="3"/>
      <c r="F54" s="19">
        <v>11323828</v>
      </c>
      <c r="G54" s="1" t="s">
        <v>289</v>
      </c>
      <c r="H54" s="12">
        <v>66.5</v>
      </c>
      <c r="I54" s="12">
        <v>44</v>
      </c>
      <c r="J54" s="77">
        <v>55.25</v>
      </c>
      <c r="K54" s="2" t="s">
        <v>398</v>
      </c>
      <c r="L54" s="53">
        <v>55.25</v>
      </c>
      <c r="M54" s="80">
        <v>11323828</v>
      </c>
      <c r="N54" s="42" t="s">
        <v>434</v>
      </c>
      <c r="O54" s="82">
        <v>66.5</v>
      </c>
      <c r="P54" s="82">
        <v>44</v>
      </c>
      <c r="Q54" s="82">
        <v>55.25</v>
      </c>
      <c r="R54" s="84">
        <f>ROUND(Q54 - ABS(J54), 2)</f>
        <v>0</v>
      </c>
    </row>
    <row r="55" spans="1:18" x14ac:dyDescent="0.35">
      <c r="A55" s="41">
        <v>11607108</v>
      </c>
      <c r="B55" s="42" t="s">
        <v>129</v>
      </c>
      <c r="C55" s="11">
        <v>75</v>
      </c>
      <c r="D55" s="11">
        <v>62</v>
      </c>
      <c r="E55" s="3"/>
      <c r="F55" s="19">
        <v>11607108</v>
      </c>
      <c r="G55" s="1" t="s">
        <v>290</v>
      </c>
      <c r="H55" s="12">
        <v>74.900000000000006</v>
      </c>
      <c r="I55" s="12">
        <v>62</v>
      </c>
      <c r="J55" s="77">
        <v>62.45</v>
      </c>
      <c r="K55" s="2" t="s">
        <v>398</v>
      </c>
      <c r="L55" s="53">
        <v>62.45</v>
      </c>
      <c r="M55" s="80">
        <v>11607108</v>
      </c>
      <c r="N55" s="42" t="s">
        <v>290</v>
      </c>
      <c r="O55" s="82">
        <v>75</v>
      </c>
      <c r="P55" s="82">
        <v>62</v>
      </c>
      <c r="Q55" s="82">
        <v>68.5</v>
      </c>
      <c r="R55" s="85">
        <f>ROUND(Q55 - ABS(J55), 2)</f>
        <v>6.05</v>
      </c>
    </row>
    <row r="56" spans="1:18" x14ac:dyDescent="0.35">
      <c r="A56" s="41">
        <v>11607083</v>
      </c>
      <c r="B56" s="42" t="s">
        <v>130</v>
      </c>
      <c r="C56" s="11">
        <v>74.900000000000006</v>
      </c>
      <c r="D56" s="11">
        <v>50</v>
      </c>
      <c r="E56" s="3"/>
      <c r="F56" s="19">
        <v>11607083</v>
      </c>
      <c r="G56" s="1" t="s">
        <v>309</v>
      </c>
      <c r="H56" s="12">
        <v>75</v>
      </c>
      <c r="I56" s="12">
        <v>50</v>
      </c>
      <c r="J56" s="77">
        <v>68.5</v>
      </c>
      <c r="K56" s="2" t="s">
        <v>398</v>
      </c>
      <c r="L56" s="53">
        <v>68.5</v>
      </c>
      <c r="M56" s="80">
        <v>11607083</v>
      </c>
      <c r="N56" s="42" t="s">
        <v>435</v>
      </c>
      <c r="O56" s="82">
        <v>74.900000000000006</v>
      </c>
      <c r="P56" s="82">
        <v>50</v>
      </c>
      <c r="Q56" s="82">
        <v>62.45</v>
      </c>
      <c r="R56" s="85">
        <f>ROUND(Q56 - ABS(J56), 2)</f>
        <v>-6.05</v>
      </c>
    </row>
    <row r="57" spans="1:18" x14ac:dyDescent="0.35">
      <c r="A57" s="41">
        <v>11607119</v>
      </c>
      <c r="B57" s="42" t="s">
        <v>131</v>
      </c>
      <c r="C57" s="11">
        <v>79</v>
      </c>
      <c r="D57" s="11">
        <v>71</v>
      </c>
      <c r="E57" s="3"/>
      <c r="F57" s="19">
        <v>11607119</v>
      </c>
      <c r="G57" s="1" t="s">
        <v>291</v>
      </c>
      <c r="H57" s="12">
        <v>79</v>
      </c>
      <c r="I57" s="12">
        <v>71</v>
      </c>
      <c r="J57" s="77">
        <v>75</v>
      </c>
      <c r="K57" s="2" t="s">
        <v>398</v>
      </c>
      <c r="L57" s="53">
        <v>75</v>
      </c>
      <c r="M57" s="80">
        <v>11607119</v>
      </c>
      <c r="N57" s="42" t="s">
        <v>291</v>
      </c>
      <c r="O57" s="82">
        <v>79</v>
      </c>
      <c r="P57" s="82">
        <v>71</v>
      </c>
      <c r="Q57" s="82">
        <v>75</v>
      </c>
      <c r="R57" s="84">
        <f>ROUND(Q57 - ABS(J57), 2)</f>
        <v>0</v>
      </c>
    </row>
    <row r="58" spans="1:18" x14ac:dyDescent="0.35">
      <c r="A58" s="41">
        <v>11323851</v>
      </c>
      <c r="B58" s="42" t="s">
        <v>132</v>
      </c>
      <c r="C58" s="11">
        <v>69.599999999999994</v>
      </c>
      <c r="D58" s="11">
        <v>41.5</v>
      </c>
      <c r="E58" s="3"/>
      <c r="F58" s="19">
        <v>11323851</v>
      </c>
      <c r="G58" s="1" t="s">
        <v>292</v>
      </c>
      <c r="H58" s="12">
        <v>69.599999999999994</v>
      </c>
      <c r="I58" s="12">
        <v>41.5</v>
      </c>
      <c r="J58" s="77">
        <v>55.55</v>
      </c>
      <c r="K58" s="2" t="s">
        <v>398</v>
      </c>
      <c r="L58" s="53">
        <v>55.55</v>
      </c>
      <c r="M58" s="80">
        <v>11323851</v>
      </c>
      <c r="N58" s="42" t="s">
        <v>436</v>
      </c>
      <c r="O58" s="82">
        <v>69.599999999999994</v>
      </c>
      <c r="P58" s="82">
        <v>41.5</v>
      </c>
      <c r="Q58" s="82">
        <v>55.55</v>
      </c>
      <c r="R58" s="84">
        <f>ROUND(Q58 - ABS(J58), 2)</f>
        <v>0</v>
      </c>
    </row>
    <row r="59" spans="1:18" x14ac:dyDescent="0.35">
      <c r="A59" s="41">
        <v>11607120</v>
      </c>
      <c r="B59" s="42" t="s">
        <v>133</v>
      </c>
      <c r="C59" s="11">
        <v>66</v>
      </c>
      <c r="D59" s="11">
        <v>68.5</v>
      </c>
      <c r="E59" s="3"/>
      <c r="F59" s="18">
        <v>11607120</v>
      </c>
      <c r="G59" s="9" t="s">
        <v>310</v>
      </c>
      <c r="H59" s="10">
        <v>66</v>
      </c>
      <c r="I59" s="10">
        <v>68.5</v>
      </c>
      <c r="J59" s="76">
        <v>67.25</v>
      </c>
      <c r="K59" s="2" t="s">
        <v>398</v>
      </c>
      <c r="L59" s="53">
        <v>67.25</v>
      </c>
      <c r="M59" s="80">
        <v>11607120</v>
      </c>
      <c r="N59" s="42" t="s">
        <v>437</v>
      </c>
      <c r="O59" s="82">
        <v>66</v>
      </c>
      <c r="P59" s="82">
        <v>68.5</v>
      </c>
      <c r="Q59" s="82">
        <v>67.25</v>
      </c>
      <c r="R59" s="84">
        <f>ROUND(Q59 - ABS(J59), 2)</f>
        <v>0</v>
      </c>
    </row>
    <row r="60" spans="1:18" x14ac:dyDescent="0.35">
      <c r="A60" s="41">
        <v>10447774</v>
      </c>
      <c r="B60" s="42" t="s">
        <v>134</v>
      </c>
      <c r="C60" s="11">
        <v>67</v>
      </c>
      <c r="D60" s="11">
        <v>57</v>
      </c>
      <c r="E60" s="3"/>
      <c r="F60" s="18">
        <v>10447774</v>
      </c>
      <c r="G60" s="9" t="s">
        <v>293</v>
      </c>
      <c r="H60" s="10">
        <v>67</v>
      </c>
      <c r="I60" s="10">
        <v>57</v>
      </c>
      <c r="J60" s="76">
        <v>62</v>
      </c>
      <c r="K60" s="2" t="s">
        <v>398</v>
      </c>
      <c r="L60" s="53">
        <v>62</v>
      </c>
      <c r="M60" s="80">
        <v>10447774</v>
      </c>
      <c r="N60" s="42" t="s">
        <v>438</v>
      </c>
      <c r="O60" s="82">
        <v>67</v>
      </c>
      <c r="P60" s="82">
        <v>57</v>
      </c>
      <c r="Q60" s="82">
        <v>62</v>
      </c>
      <c r="R60" s="84">
        <f>ROUND(Q60 - ABS(J60), 2)</f>
        <v>0</v>
      </c>
    </row>
    <row r="61" spans="1:18" x14ac:dyDescent="0.35">
      <c r="A61" s="41">
        <v>10447763</v>
      </c>
      <c r="B61" s="42" t="s">
        <v>135</v>
      </c>
      <c r="C61" s="11">
        <v>56</v>
      </c>
      <c r="D61" s="11">
        <v>55</v>
      </c>
      <c r="E61" s="3"/>
      <c r="F61" s="18">
        <v>10447763</v>
      </c>
      <c r="G61" s="9" t="s">
        <v>294</v>
      </c>
      <c r="H61" s="10">
        <v>56</v>
      </c>
      <c r="I61" s="10">
        <v>55</v>
      </c>
      <c r="J61" s="76">
        <v>55.5</v>
      </c>
      <c r="K61" s="2" t="s">
        <v>398</v>
      </c>
      <c r="L61" s="53">
        <v>55.5</v>
      </c>
      <c r="M61" s="80">
        <v>10447763</v>
      </c>
      <c r="N61" s="42" t="s">
        <v>417</v>
      </c>
      <c r="O61" s="82">
        <v>56</v>
      </c>
      <c r="P61" s="82">
        <v>55</v>
      </c>
      <c r="Q61" s="82">
        <v>55.5</v>
      </c>
      <c r="R61" s="84">
        <f>ROUND(Q61 - ABS(J61), 2)</f>
        <v>0</v>
      </c>
    </row>
    <row r="62" spans="1:18" x14ac:dyDescent="0.35">
      <c r="A62" s="41">
        <v>11607131</v>
      </c>
      <c r="B62" s="42" t="s">
        <v>136</v>
      </c>
      <c r="C62" s="11">
        <v>70.3</v>
      </c>
      <c r="D62" s="11">
        <v>52.5</v>
      </c>
      <c r="E62" s="3"/>
      <c r="F62" s="18">
        <v>11607131</v>
      </c>
      <c r="G62" s="9" t="s">
        <v>295</v>
      </c>
      <c r="H62" s="10">
        <v>70.3</v>
      </c>
      <c r="I62" s="10">
        <v>52.5</v>
      </c>
      <c r="J62" s="76">
        <v>61.4</v>
      </c>
      <c r="K62" s="2" t="s">
        <v>398</v>
      </c>
      <c r="L62" s="53">
        <v>61.4</v>
      </c>
      <c r="M62" s="80">
        <v>11607131</v>
      </c>
      <c r="N62" s="42" t="s">
        <v>295</v>
      </c>
      <c r="O62" s="82">
        <v>70.3</v>
      </c>
      <c r="P62" s="82">
        <v>52.5</v>
      </c>
      <c r="Q62" s="82">
        <v>61.4</v>
      </c>
      <c r="R62" s="84">
        <f>ROUND(Q62 - ABS(J62), 2)</f>
        <v>0</v>
      </c>
    </row>
    <row r="63" spans="1:18" x14ac:dyDescent="0.35">
      <c r="A63" s="41">
        <v>11607142</v>
      </c>
      <c r="B63" s="42" t="s">
        <v>137</v>
      </c>
      <c r="C63" s="11">
        <v>82</v>
      </c>
      <c r="D63" s="11">
        <v>71.5</v>
      </c>
      <c r="E63" s="3"/>
      <c r="F63" s="18">
        <v>11607142</v>
      </c>
      <c r="G63" s="9" t="s">
        <v>311</v>
      </c>
      <c r="H63" s="10">
        <v>82</v>
      </c>
      <c r="I63" s="10">
        <v>71.5</v>
      </c>
      <c r="J63" s="76">
        <v>76.75</v>
      </c>
      <c r="K63" s="2" t="s">
        <v>398</v>
      </c>
      <c r="L63" s="53">
        <v>76.75</v>
      </c>
      <c r="M63" s="80">
        <v>11607142</v>
      </c>
      <c r="N63" s="42" t="s">
        <v>439</v>
      </c>
      <c r="O63" s="82">
        <v>82</v>
      </c>
      <c r="P63" s="82">
        <v>71.5</v>
      </c>
      <c r="Q63" s="82">
        <v>76.75</v>
      </c>
      <c r="R63" s="84">
        <f>ROUND(Q63 - ABS(J63), 2)</f>
        <v>0</v>
      </c>
    </row>
    <row r="64" spans="1:18" x14ac:dyDescent="0.35">
      <c r="A64" s="41">
        <v>11607153</v>
      </c>
      <c r="B64" s="42" t="s">
        <v>138</v>
      </c>
      <c r="C64" s="11">
        <v>66.8</v>
      </c>
      <c r="D64" s="11">
        <v>56</v>
      </c>
      <c r="E64" s="3"/>
      <c r="F64" s="18">
        <v>11607153</v>
      </c>
      <c r="G64" s="9" t="s">
        <v>296</v>
      </c>
      <c r="H64" s="10">
        <v>66.8</v>
      </c>
      <c r="I64" s="10">
        <v>56</v>
      </c>
      <c r="J64" s="76">
        <v>61.4</v>
      </c>
      <c r="K64" s="2" t="s">
        <v>398</v>
      </c>
      <c r="L64" s="53">
        <v>61.4</v>
      </c>
      <c r="M64" s="80">
        <v>11607153</v>
      </c>
      <c r="N64" s="42" t="s">
        <v>296</v>
      </c>
      <c r="O64" s="82">
        <v>66.8</v>
      </c>
      <c r="P64" s="82">
        <v>56</v>
      </c>
      <c r="Q64" s="82">
        <v>61.4</v>
      </c>
      <c r="R64" s="84">
        <f>ROUND(Q64 - ABS(J64), 2)</f>
        <v>0</v>
      </c>
    </row>
    <row r="65" spans="1:18" x14ac:dyDescent="0.35">
      <c r="A65" s="41">
        <v>10447811</v>
      </c>
      <c r="B65" s="42" t="s">
        <v>139</v>
      </c>
      <c r="C65" s="11">
        <v>68</v>
      </c>
      <c r="D65" s="11">
        <v>65.5</v>
      </c>
      <c r="E65" s="3"/>
      <c r="F65" s="18">
        <v>10447811</v>
      </c>
      <c r="G65" s="9" t="s">
        <v>297</v>
      </c>
      <c r="H65" s="10">
        <v>68</v>
      </c>
      <c r="I65" s="10">
        <v>65.5</v>
      </c>
      <c r="J65" s="76">
        <v>66.75</v>
      </c>
      <c r="K65" s="2" t="s">
        <v>398</v>
      </c>
      <c r="L65" s="53">
        <v>66.75</v>
      </c>
      <c r="M65" s="80">
        <v>10447811</v>
      </c>
      <c r="N65" s="42" t="s">
        <v>440</v>
      </c>
      <c r="O65" s="82">
        <v>68</v>
      </c>
      <c r="P65" s="82">
        <v>65.5</v>
      </c>
      <c r="Q65" s="82">
        <v>66.75</v>
      </c>
      <c r="R65" s="84">
        <f>ROUND(Q65 - ABS(J65), 2)</f>
        <v>0</v>
      </c>
    </row>
    <row r="66" spans="1:18" x14ac:dyDescent="0.35">
      <c r="A66" s="41">
        <v>11323862</v>
      </c>
      <c r="B66" s="42" t="s">
        <v>140</v>
      </c>
      <c r="C66" s="11">
        <v>77</v>
      </c>
      <c r="D66" s="11">
        <v>57</v>
      </c>
      <c r="E66" s="3"/>
      <c r="F66" s="18">
        <v>11323862</v>
      </c>
      <c r="G66" s="9" t="s">
        <v>298</v>
      </c>
      <c r="H66" s="10">
        <v>77</v>
      </c>
      <c r="I66" s="10">
        <v>57</v>
      </c>
      <c r="J66" s="76">
        <v>67</v>
      </c>
      <c r="K66" s="2" t="s">
        <v>398</v>
      </c>
      <c r="L66" s="53">
        <v>67</v>
      </c>
      <c r="M66" s="80">
        <v>11323862</v>
      </c>
      <c r="N66" s="42" t="s">
        <v>442</v>
      </c>
      <c r="O66" s="82">
        <v>77</v>
      </c>
      <c r="P66" s="82">
        <v>57</v>
      </c>
      <c r="Q66" s="82">
        <v>67</v>
      </c>
      <c r="R66" s="84">
        <f>ROUND(Q66 - ABS(J66), 2)</f>
        <v>0</v>
      </c>
    </row>
    <row r="67" spans="1:18" x14ac:dyDescent="0.35">
      <c r="A67" s="41">
        <v>8748184</v>
      </c>
      <c r="B67" s="42" t="s">
        <v>312</v>
      </c>
      <c r="C67" s="11">
        <v>56</v>
      </c>
      <c r="D67" s="11">
        <v>31.5</v>
      </c>
      <c r="E67" s="3" t="s">
        <v>150</v>
      </c>
      <c r="F67" s="18">
        <v>8748184</v>
      </c>
      <c r="G67" s="9" t="s">
        <v>299</v>
      </c>
      <c r="H67" s="10">
        <v>56</v>
      </c>
      <c r="I67" s="10">
        <v>31.5</v>
      </c>
      <c r="J67" s="76">
        <v>-43.75</v>
      </c>
      <c r="K67" s="2" t="s">
        <v>398</v>
      </c>
      <c r="L67" s="53">
        <v>43.75</v>
      </c>
      <c r="M67" s="80">
        <v>8748184</v>
      </c>
      <c r="N67" s="42" t="s">
        <v>405</v>
      </c>
      <c r="O67" s="82">
        <v>56</v>
      </c>
      <c r="P67" s="82">
        <v>31.5</v>
      </c>
      <c r="Q67" s="82">
        <v>40</v>
      </c>
      <c r="R67" s="85">
        <f>ROUND(Q67 - ABS(J67), 2)</f>
        <v>-3.75</v>
      </c>
    </row>
    <row r="68" spans="1:18" hidden="1" x14ac:dyDescent="0.35">
      <c r="A68" s="41"/>
      <c r="B68" s="42"/>
      <c r="C68" s="11"/>
      <c r="D68" s="11"/>
      <c r="E68" s="3"/>
      <c r="F68" s="18">
        <v>11323851</v>
      </c>
      <c r="G68" s="9" t="s">
        <v>292</v>
      </c>
      <c r="H68" s="10">
        <v>69.599999999999994</v>
      </c>
      <c r="I68" s="10">
        <v>41.5</v>
      </c>
      <c r="J68" s="76">
        <v>55.55</v>
      </c>
      <c r="K68" s="2" t="str">
        <f t="shared" ref="K68:K73" si="0">IF(I68="-", IF(J68&lt;$K$6, "Failed!", "pass"), IF(AND(H68&gt;=$J$6, I68&gt;=$J$6, J68&gt;=$K$6), "pass", "Failed!"))</f>
        <v>pass</v>
      </c>
      <c r="L68" s="53">
        <f>ROUND(H68 - C68, 2)</f>
        <v>69.599999999999994</v>
      </c>
      <c r="M68" s="80"/>
      <c r="N68" s="42"/>
      <c r="O68" s="82"/>
      <c r="P68" s="82"/>
      <c r="Q68" s="82"/>
    </row>
    <row r="69" spans="1:18" hidden="1" x14ac:dyDescent="0.35">
      <c r="A69" s="41"/>
      <c r="B69" s="42"/>
      <c r="C69" s="11"/>
      <c r="D69" s="11"/>
      <c r="E69" s="3"/>
      <c r="F69" s="18"/>
      <c r="G69" s="9"/>
      <c r="H69" s="10"/>
      <c r="I69" s="10"/>
      <c r="J69" s="76"/>
      <c r="K69" s="2" t="str">
        <f t="shared" si="0"/>
        <v>Failed!</v>
      </c>
      <c r="L69" s="53"/>
      <c r="M69" s="80"/>
      <c r="N69" s="42"/>
      <c r="O69" s="82"/>
      <c r="P69" s="82"/>
      <c r="Q69" s="82"/>
    </row>
    <row r="70" spans="1:18" hidden="1" x14ac:dyDescent="0.35">
      <c r="A70" s="41"/>
      <c r="B70" s="42"/>
      <c r="C70" s="11"/>
      <c r="D70" s="11"/>
      <c r="E70" s="3"/>
      <c r="F70" s="18"/>
      <c r="G70" s="9"/>
      <c r="H70" s="10"/>
      <c r="I70" s="10"/>
      <c r="J70" s="76"/>
      <c r="K70" s="2" t="str">
        <f t="shared" si="0"/>
        <v>Failed!</v>
      </c>
      <c r="L70" s="53"/>
      <c r="M70" s="80"/>
      <c r="N70" s="42"/>
      <c r="O70" s="82"/>
      <c r="P70" s="82"/>
      <c r="Q70" s="82"/>
    </row>
    <row r="71" spans="1:18" hidden="1" x14ac:dyDescent="0.35">
      <c r="A71" s="41"/>
      <c r="B71" s="42"/>
      <c r="C71" s="11"/>
      <c r="D71" s="11"/>
      <c r="E71" s="3"/>
      <c r="F71" s="18"/>
      <c r="G71" s="9"/>
      <c r="H71" s="10"/>
      <c r="I71" s="10"/>
      <c r="J71" s="76"/>
      <c r="K71" s="2" t="str">
        <f t="shared" si="0"/>
        <v>Failed!</v>
      </c>
      <c r="L71" s="53"/>
      <c r="M71" s="80"/>
      <c r="N71" s="42"/>
      <c r="O71" s="82"/>
      <c r="P71" s="82"/>
      <c r="Q71" s="82"/>
    </row>
    <row r="72" spans="1:18" hidden="1" x14ac:dyDescent="0.35">
      <c r="A72" s="41"/>
      <c r="B72" s="42"/>
      <c r="C72" s="11"/>
      <c r="D72" s="11"/>
      <c r="E72" s="3"/>
      <c r="F72" s="18"/>
      <c r="G72" s="9"/>
      <c r="H72" s="10"/>
      <c r="I72" s="10"/>
      <c r="J72" s="76"/>
      <c r="K72" s="2" t="str">
        <f t="shared" si="0"/>
        <v>Failed!</v>
      </c>
      <c r="L72" s="53"/>
      <c r="M72" s="80"/>
      <c r="N72" s="42"/>
      <c r="O72" s="82"/>
      <c r="P72" s="82"/>
      <c r="Q72" s="82"/>
    </row>
    <row r="73" spans="1:18" hidden="1" x14ac:dyDescent="0.35">
      <c r="A73" s="41"/>
      <c r="B73" s="42"/>
      <c r="C73" s="11"/>
      <c r="D73" s="11"/>
      <c r="E73" s="3"/>
      <c r="F73" s="18"/>
      <c r="G73" s="9"/>
      <c r="H73" s="10"/>
      <c r="I73" s="10"/>
      <c r="J73" s="76"/>
      <c r="K73" s="2" t="str">
        <f t="shared" si="0"/>
        <v>Failed!</v>
      </c>
      <c r="L73" s="53"/>
      <c r="M73" s="80"/>
      <c r="N73" s="42"/>
      <c r="O73" s="82"/>
      <c r="P73" s="82"/>
      <c r="Q73" s="82"/>
    </row>
    <row r="74" spans="1:18" hidden="1" x14ac:dyDescent="0.35">
      <c r="A74" s="41"/>
      <c r="B74" s="42"/>
      <c r="C74" s="11"/>
      <c r="D74" s="11"/>
      <c r="E74" s="3"/>
      <c r="F74" s="18"/>
      <c r="G74" s="9"/>
      <c r="H74" s="10"/>
      <c r="I74" s="10"/>
      <c r="J74" s="76"/>
      <c r="K74" s="2" t="str">
        <f t="shared" ref="K74:K88" si="1">IF(I74="-", IF(J74&lt;$K$6, "Failed!", "pass"), IF(AND(H74&gt;=$J$6, I74&gt;=$J$6, J74&gt;=$K$6), "pass", "Failed!"))</f>
        <v>Failed!</v>
      </c>
      <c r="L74" s="53"/>
      <c r="M74" s="80"/>
      <c r="N74" s="42"/>
      <c r="O74" s="82"/>
      <c r="P74" s="82"/>
      <c r="Q74" s="82"/>
    </row>
    <row r="75" spans="1:18" hidden="1" x14ac:dyDescent="0.35">
      <c r="A75" s="41"/>
      <c r="B75" s="42"/>
      <c r="C75" s="11"/>
      <c r="D75" s="11"/>
      <c r="E75" s="3"/>
      <c r="F75" s="18"/>
      <c r="G75" s="9"/>
      <c r="H75" s="10"/>
      <c r="I75" s="10"/>
      <c r="J75" s="76"/>
      <c r="K75" s="2" t="str">
        <f t="shared" si="1"/>
        <v>Failed!</v>
      </c>
      <c r="L75" s="53"/>
      <c r="M75" s="80"/>
      <c r="N75" s="42"/>
      <c r="O75" s="82"/>
      <c r="P75" s="82"/>
      <c r="Q75" s="82"/>
    </row>
    <row r="76" spans="1:18" hidden="1" x14ac:dyDescent="0.35">
      <c r="A76" s="41"/>
      <c r="B76" s="42"/>
      <c r="C76" s="11"/>
      <c r="D76" s="11"/>
      <c r="E76" s="3"/>
      <c r="F76" s="18"/>
      <c r="G76" s="9"/>
      <c r="H76" s="10"/>
      <c r="I76" s="10"/>
      <c r="J76" s="76"/>
      <c r="K76" s="2" t="str">
        <f t="shared" si="1"/>
        <v>Failed!</v>
      </c>
      <c r="L76" s="53"/>
      <c r="M76" s="80"/>
      <c r="N76" s="42"/>
      <c r="O76" s="82"/>
      <c r="P76" s="82"/>
      <c r="Q76" s="82"/>
    </row>
    <row r="77" spans="1:18" hidden="1" x14ac:dyDescent="0.35">
      <c r="A77" s="41"/>
      <c r="B77" s="42"/>
      <c r="C77" s="11"/>
      <c r="D77" s="11"/>
      <c r="E77" s="3"/>
      <c r="F77" s="18"/>
      <c r="G77" s="9"/>
      <c r="H77" s="10"/>
      <c r="I77" s="10"/>
      <c r="J77" s="76"/>
      <c r="K77" s="2" t="str">
        <f t="shared" si="1"/>
        <v>Failed!</v>
      </c>
      <c r="L77" s="53"/>
      <c r="M77" s="80"/>
      <c r="N77" s="42"/>
      <c r="O77" s="82"/>
      <c r="P77" s="82"/>
      <c r="Q77" s="82"/>
    </row>
    <row r="78" spans="1:18" hidden="1" x14ac:dyDescent="0.35">
      <c r="A78" s="41"/>
      <c r="B78" s="42"/>
      <c r="C78" s="11"/>
      <c r="D78" s="11"/>
      <c r="E78" s="3"/>
      <c r="F78" s="18"/>
      <c r="G78" s="9"/>
      <c r="H78" s="10"/>
      <c r="I78" s="10"/>
      <c r="J78" s="76"/>
      <c r="K78" s="2" t="str">
        <f t="shared" si="1"/>
        <v>Failed!</v>
      </c>
      <c r="L78" s="53"/>
      <c r="M78" s="80"/>
      <c r="N78" s="42"/>
      <c r="O78" s="82"/>
      <c r="P78" s="82"/>
      <c r="Q78" s="82"/>
    </row>
    <row r="79" spans="1:18" hidden="1" x14ac:dyDescent="0.35">
      <c r="A79" s="41"/>
      <c r="B79" s="42"/>
      <c r="C79" s="11"/>
      <c r="D79" s="11"/>
      <c r="E79" s="3"/>
      <c r="F79" s="18"/>
      <c r="G79" s="9"/>
      <c r="H79" s="10"/>
      <c r="I79" s="10"/>
      <c r="J79" s="76"/>
      <c r="K79" s="2" t="str">
        <f t="shared" si="1"/>
        <v>Failed!</v>
      </c>
      <c r="L79" s="53"/>
      <c r="M79" s="80"/>
      <c r="N79" s="42"/>
      <c r="O79" s="82"/>
      <c r="P79" s="82"/>
      <c r="Q79" s="82"/>
    </row>
    <row r="80" spans="1:18" hidden="1" x14ac:dyDescent="0.35">
      <c r="A80" s="41"/>
      <c r="B80" s="42"/>
      <c r="C80" s="11"/>
      <c r="D80" s="11"/>
      <c r="E80" s="3"/>
      <c r="F80" s="18"/>
      <c r="G80" s="9"/>
      <c r="H80" s="10"/>
      <c r="I80" s="10"/>
      <c r="J80" s="76"/>
      <c r="K80" s="2" t="str">
        <f t="shared" si="1"/>
        <v>Failed!</v>
      </c>
      <c r="L80" s="53"/>
      <c r="M80" s="80"/>
      <c r="N80" s="42"/>
      <c r="O80" s="82"/>
      <c r="P80" s="82"/>
      <c r="Q80" s="82"/>
    </row>
    <row r="81" spans="1:17" hidden="1" x14ac:dyDescent="0.35">
      <c r="A81" s="41"/>
      <c r="B81" s="42"/>
      <c r="C81" s="11"/>
      <c r="D81" s="11"/>
      <c r="E81" s="3"/>
      <c r="F81" s="18"/>
      <c r="G81" s="9"/>
      <c r="H81" s="10"/>
      <c r="I81" s="10"/>
      <c r="J81" s="76"/>
      <c r="K81" s="2" t="str">
        <f t="shared" si="1"/>
        <v>Failed!</v>
      </c>
      <c r="L81" s="53"/>
      <c r="M81" s="80"/>
      <c r="N81" s="42"/>
      <c r="O81" s="82"/>
      <c r="P81" s="82"/>
      <c r="Q81" s="82"/>
    </row>
    <row r="82" spans="1:17" hidden="1" x14ac:dyDescent="0.35">
      <c r="A82" s="41"/>
      <c r="B82" s="42"/>
      <c r="C82" s="11"/>
      <c r="D82" s="11"/>
      <c r="E82" s="3"/>
      <c r="F82" s="18"/>
      <c r="G82" s="9"/>
      <c r="H82" s="10"/>
      <c r="I82" s="10"/>
      <c r="J82" s="76"/>
      <c r="K82" s="2" t="str">
        <f t="shared" si="1"/>
        <v>Failed!</v>
      </c>
      <c r="L82" s="53"/>
      <c r="M82" s="80"/>
      <c r="N82" s="42"/>
      <c r="O82" s="82"/>
      <c r="P82" s="82"/>
      <c r="Q82" s="82"/>
    </row>
    <row r="83" spans="1:17" hidden="1" x14ac:dyDescent="0.35">
      <c r="A83" s="41"/>
      <c r="B83" s="42"/>
      <c r="C83" s="11"/>
      <c r="D83" s="11"/>
      <c r="E83" s="3"/>
      <c r="F83" s="18"/>
      <c r="G83" s="9"/>
      <c r="H83" s="10"/>
      <c r="I83" s="10"/>
      <c r="J83" s="76"/>
      <c r="K83" s="2" t="str">
        <f t="shared" si="1"/>
        <v>Failed!</v>
      </c>
      <c r="L83" s="53"/>
      <c r="M83" s="80"/>
      <c r="N83" s="42"/>
      <c r="O83" s="82"/>
      <c r="P83" s="82"/>
      <c r="Q83" s="82"/>
    </row>
    <row r="84" spans="1:17" hidden="1" x14ac:dyDescent="0.35">
      <c r="A84" s="41"/>
      <c r="B84" s="42"/>
      <c r="C84" s="11"/>
      <c r="D84" s="11"/>
      <c r="E84" s="3"/>
      <c r="F84" s="18"/>
      <c r="G84" s="9"/>
      <c r="H84" s="10"/>
      <c r="I84" s="10"/>
      <c r="J84" s="76"/>
      <c r="K84" s="2" t="str">
        <f t="shared" si="1"/>
        <v>Failed!</v>
      </c>
      <c r="L84" s="53"/>
      <c r="M84" s="80"/>
      <c r="N84" s="42"/>
      <c r="O84" s="82"/>
      <c r="P84" s="82"/>
      <c r="Q84" s="82"/>
    </row>
    <row r="85" spans="1:17" hidden="1" x14ac:dyDescent="0.35">
      <c r="A85" s="41"/>
      <c r="B85" s="42"/>
      <c r="C85" s="11"/>
      <c r="D85" s="11"/>
      <c r="E85" s="3"/>
      <c r="F85" s="18"/>
      <c r="G85" s="9"/>
      <c r="H85" s="10"/>
      <c r="I85" s="10"/>
      <c r="J85" s="76"/>
      <c r="K85" s="2" t="str">
        <f t="shared" si="1"/>
        <v>Failed!</v>
      </c>
      <c r="L85" s="53"/>
      <c r="M85" s="80"/>
      <c r="N85" s="42"/>
      <c r="O85" s="82"/>
      <c r="P85" s="82"/>
      <c r="Q85" s="82"/>
    </row>
    <row r="86" spans="1:17" hidden="1" x14ac:dyDescent="0.35">
      <c r="A86" s="41"/>
      <c r="B86" s="42"/>
      <c r="C86" s="11"/>
      <c r="D86" s="11"/>
      <c r="E86" s="3"/>
      <c r="F86" s="18"/>
      <c r="G86" s="9"/>
      <c r="H86" s="10"/>
      <c r="I86" s="10"/>
      <c r="J86" s="76"/>
      <c r="K86" s="2" t="str">
        <f t="shared" si="1"/>
        <v>Failed!</v>
      </c>
      <c r="L86" s="53"/>
      <c r="M86" s="80"/>
      <c r="N86" s="42"/>
      <c r="O86" s="82"/>
      <c r="P86" s="82"/>
      <c r="Q86" s="82"/>
    </row>
    <row r="87" spans="1:17" hidden="1" x14ac:dyDescent="0.35">
      <c r="A87" s="41"/>
      <c r="B87" s="42"/>
      <c r="C87" s="11"/>
      <c r="D87" s="11"/>
      <c r="E87" s="3"/>
      <c r="F87" s="18"/>
      <c r="G87" s="9"/>
      <c r="H87" s="10"/>
      <c r="I87" s="10"/>
      <c r="J87" s="76"/>
      <c r="K87" s="2" t="str">
        <f t="shared" si="1"/>
        <v>Failed!</v>
      </c>
      <c r="L87" s="53"/>
      <c r="M87" s="80"/>
      <c r="N87" s="42"/>
      <c r="O87" s="82"/>
      <c r="P87" s="82"/>
      <c r="Q87" s="82"/>
    </row>
    <row r="88" spans="1:17" hidden="1" x14ac:dyDescent="0.35">
      <c r="A88" s="41"/>
      <c r="B88" s="42"/>
      <c r="C88" s="11"/>
      <c r="D88" s="11"/>
      <c r="E88" s="3"/>
      <c r="F88" s="18"/>
      <c r="G88" s="9"/>
      <c r="H88" s="10"/>
      <c r="I88" s="10"/>
      <c r="J88" s="76"/>
      <c r="K88" s="2" t="str">
        <f t="shared" si="1"/>
        <v>Failed!</v>
      </c>
      <c r="L88" s="53"/>
      <c r="M88" s="80"/>
      <c r="N88" s="42"/>
      <c r="O88" s="82"/>
      <c r="P88" s="82"/>
      <c r="Q88" s="82"/>
    </row>
    <row r="89" spans="1:17" x14ac:dyDescent="0.35">
      <c r="M89" s="4"/>
    </row>
    <row r="90" spans="1:17" x14ac:dyDescent="0.35">
      <c r="F90" s="4">
        <f>COUNTA(F10:F88)</f>
        <v>59</v>
      </c>
      <c r="G90" s="2" t="s">
        <v>14</v>
      </c>
      <c r="H90" s="40">
        <f>MAX(H10:H88)</f>
        <v>82</v>
      </c>
      <c r="I90" s="40">
        <f>MAX(I10:I88)</f>
        <v>89</v>
      </c>
      <c r="J90" s="40">
        <f>MAX(L10:L88)</f>
        <v>85.5</v>
      </c>
      <c r="M90" s="4"/>
    </row>
    <row r="91" spans="1:17" x14ac:dyDescent="0.35">
      <c r="G91" s="2" t="s">
        <v>12</v>
      </c>
      <c r="H91" s="40">
        <f>AVERAGE(H10:H88)</f>
        <v>72.127118644067806</v>
      </c>
      <c r="I91" s="40">
        <f>AVERAGE(I10:I88)</f>
        <v>59.21864406779661</v>
      </c>
      <c r="J91" s="40">
        <f>AVERAGE(L10:L88)</f>
        <v>65.91864406779662</v>
      </c>
      <c r="M91" s="4"/>
    </row>
    <row r="92" spans="1:17" x14ac:dyDescent="0.35">
      <c r="G92" s="2" t="s">
        <v>15</v>
      </c>
      <c r="H92" s="40">
        <f>MIN(H10:H88)</f>
        <v>56</v>
      </c>
      <c r="I92" s="40">
        <f>MIN(I10:I88)</f>
        <v>23.4</v>
      </c>
      <c r="J92" s="40">
        <f>MIN(L10:L88)</f>
        <v>43.75</v>
      </c>
      <c r="M92" s="4"/>
    </row>
    <row r="93" spans="1:17" x14ac:dyDescent="0.35">
      <c r="G93" s="2" t="s">
        <v>13</v>
      </c>
      <c r="H93" s="40">
        <f>STDEV(H10:H88)</f>
        <v>5.853169801659627</v>
      </c>
      <c r="I93" s="40">
        <f>STDEV(I10:I88)</f>
        <v>14.655109437070307</v>
      </c>
      <c r="J93" s="40">
        <f>STDEV(L10:L88)</f>
        <v>8.9475719028870273</v>
      </c>
      <c r="M93" s="4"/>
    </row>
    <row r="94" spans="1:17" x14ac:dyDescent="0.35">
      <c r="G94" s="2" t="str">
        <f>"Failed count ( &lt; " &amp; K6 &amp; " )"</f>
        <v>Failed count ( &lt; 40 )</v>
      </c>
      <c r="H94" s="50">
        <f>COUNTIF(H10:H88, "&lt;40")</f>
        <v>0</v>
      </c>
      <c r="I94" s="50">
        <f>COUNTIF(I10:I88, "&lt;40")</f>
        <v>6</v>
      </c>
      <c r="J94" s="50">
        <f>COUNTIF(L10:L88, "&lt;40")</f>
        <v>0</v>
      </c>
      <c r="M94" s="4"/>
    </row>
    <row r="95" spans="1:17" x14ac:dyDescent="0.35">
      <c r="G95" s="2" t="s">
        <v>16</v>
      </c>
      <c r="H95" s="49">
        <f>1-H94/$F90</f>
        <v>1</v>
      </c>
      <c r="I95" s="49">
        <f>1-I94/$F90</f>
        <v>0.89830508474576276</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51" priority="1" operator="lessThan">
      <formula>$K$6</formula>
    </cfRule>
  </conditionalFormatting>
  <conditionalFormatting sqref="F10:I88">
    <cfRule type="expression" dxfId="50" priority="2" stopIfTrue="1">
      <formula>F10=A10</formula>
    </cfRule>
    <cfRule type="expression" dxfId="49" priority="3" stopIfTrue="1">
      <formula>F10&lt;&gt;A10</formula>
    </cfRule>
  </conditionalFormatting>
  <conditionalFormatting sqref="M10:Q67">
    <cfRule type="expression" dxfId="1" priority="4" stopIfTrue="1">
      <formula>M10=F10</formula>
    </cfRule>
    <cfRule type="expression" dxfId="0"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3730"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3731"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R109"/>
  <sheetViews>
    <sheetView zoomScaleNormal="100" workbookViewId="0">
      <pane xSplit="1" ySplit="9" topLeftCell="F10" activePane="bottomRight" state="frozen"/>
      <selection activeCell="E16" sqref="E16"/>
      <selection pane="topRight" activeCell="E16" sqref="E16"/>
      <selection pane="bottomLeft" activeCell="E16" sqref="E16"/>
      <selection pane="bottomRight" activeCell="F23" sqref="F23:I23"/>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COUNTA(B10:B86)</f>
        <v>18</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151</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152</v>
      </c>
      <c r="C5" s="14"/>
      <c r="D5" s="16"/>
      <c r="F5" s="59" t="s">
        <v>38</v>
      </c>
      <c r="L5" s="52"/>
      <c r="M5" s="47" t="s">
        <v>49</v>
      </c>
    </row>
    <row r="6" spans="1:18" x14ac:dyDescent="0.35">
      <c r="A6" s="20" t="s">
        <v>397</v>
      </c>
      <c r="B6" s="13" t="s">
        <v>68</v>
      </c>
      <c r="C6" s="14"/>
      <c r="D6" s="16"/>
      <c r="F6" s="59" t="s">
        <v>54</v>
      </c>
      <c r="J6" s="70">
        <v>35</v>
      </c>
      <c r="K6" s="70">
        <v>40</v>
      </c>
      <c r="L6" s="52"/>
      <c r="N6" s="51" t="str">
        <f>B5&amp;".pdf"</f>
        <v>290COM.pdf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c r="B9" s="57"/>
      <c r="C9" s="57"/>
      <c r="D9" s="57"/>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11323932</v>
      </c>
      <c r="B10" s="42" t="s">
        <v>89</v>
      </c>
      <c r="C10" s="11">
        <v>80.239999999999995</v>
      </c>
      <c r="D10" s="11" t="s">
        <v>69</v>
      </c>
      <c r="E10" s="3"/>
      <c r="F10" s="18">
        <v>11323932</v>
      </c>
      <c r="G10" s="9" t="s">
        <v>254</v>
      </c>
      <c r="H10" s="10">
        <v>80.239999999999995</v>
      </c>
      <c r="I10" s="10" t="s">
        <v>69</v>
      </c>
      <c r="J10" s="76">
        <v>80.239999999999995</v>
      </c>
      <c r="K10" s="2" t="s">
        <v>398</v>
      </c>
      <c r="L10" s="53">
        <v>80.239999999999995</v>
      </c>
      <c r="M10" s="80">
        <v>11323932</v>
      </c>
      <c r="N10" s="42" t="s">
        <v>408</v>
      </c>
      <c r="O10" s="82">
        <v>80.239999999999995</v>
      </c>
      <c r="P10" s="82" t="s">
        <v>69</v>
      </c>
      <c r="Q10" s="82">
        <v>80.239999999999995</v>
      </c>
      <c r="R10" s="84">
        <f t="shared" ref="R10:R27" si="0">ROUND(Q10 - ABS(J10), 2)</f>
        <v>0</v>
      </c>
    </row>
    <row r="11" spans="1:18" x14ac:dyDescent="0.35">
      <c r="A11" s="41">
        <v>10447822</v>
      </c>
      <c r="B11" s="42" t="s">
        <v>95</v>
      </c>
      <c r="C11" s="11">
        <v>76.239999999999995</v>
      </c>
      <c r="D11" s="11" t="s">
        <v>69</v>
      </c>
      <c r="E11" s="3"/>
      <c r="F11" s="18">
        <v>10447822</v>
      </c>
      <c r="G11" s="9" t="s">
        <v>260</v>
      </c>
      <c r="H11" s="10">
        <v>76.239999999999995</v>
      </c>
      <c r="I11" s="10" t="s">
        <v>69</v>
      </c>
      <c r="J11" s="76">
        <v>76.239999999999995</v>
      </c>
      <c r="K11" s="2" t="s">
        <v>398</v>
      </c>
      <c r="L11" s="53">
        <v>76.239999999999995</v>
      </c>
      <c r="M11" s="80">
        <v>10447822</v>
      </c>
      <c r="N11" s="42" t="s">
        <v>421</v>
      </c>
      <c r="O11" s="82">
        <v>76.239999999999995</v>
      </c>
      <c r="P11" s="82" t="s">
        <v>69</v>
      </c>
      <c r="Q11" s="82">
        <v>76.239999999999995</v>
      </c>
      <c r="R11" s="84">
        <f t="shared" si="0"/>
        <v>0</v>
      </c>
    </row>
    <row r="12" spans="1:18" x14ac:dyDescent="0.35">
      <c r="A12" s="41">
        <v>11323909</v>
      </c>
      <c r="B12" s="42" t="s">
        <v>98</v>
      </c>
      <c r="C12" s="11">
        <v>66.61</v>
      </c>
      <c r="D12" s="11" t="s">
        <v>69</v>
      </c>
      <c r="E12" s="3"/>
      <c r="F12" s="18">
        <v>11323909</v>
      </c>
      <c r="G12" s="9" t="s">
        <v>303</v>
      </c>
      <c r="H12" s="10">
        <v>66.61</v>
      </c>
      <c r="I12" s="10" t="s">
        <v>69</v>
      </c>
      <c r="J12" s="76">
        <v>66.61</v>
      </c>
      <c r="K12" s="2" t="s">
        <v>398</v>
      </c>
      <c r="L12" s="53">
        <v>66.61</v>
      </c>
      <c r="M12" s="80">
        <v>11323909</v>
      </c>
      <c r="N12" s="42" t="s">
        <v>412</v>
      </c>
      <c r="O12" s="82">
        <v>66.61</v>
      </c>
      <c r="P12" s="82" t="s">
        <v>69</v>
      </c>
      <c r="Q12" s="82">
        <v>66.61</v>
      </c>
      <c r="R12" s="84">
        <f t="shared" si="0"/>
        <v>0</v>
      </c>
    </row>
    <row r="13" spans="1:18" x14ac:dyDescent="0.35">
      <c r="A13" s="41">
        <v>11323611</v>
      </c>
      <c r="B13" s="42" t="s">
        <v>149</v>
      </c>
      <c r="C13" s="11">
        <v>85.78</v>
      </c>
      <c r="D13" s="11" t="s">
        <v>69</v>
      </c>
      <c r="E13" s="3"/>
      <c r="F13" s="18">
        <v>11323611</v>
      </c>
      <c r="G13" s="9" t="s">
        <v>306</v>
      </c>
      <c r="H13" s="10">
        <v>85.78</v>
      </c>
      <c r="I13" s="10" t="s">
        <v>69</v>
      </c>
      <c r="J13" s="76">
        <v>85.78</v>
      </c>
      <c r="K13" s="2" t="s">
        <v>398</v>
      </c>
      <c r="L13" s="53">
        <v>85.78</v>
      </c>
      <c r="M13" s="80">
        <v>11323611</v>
      </c>
      <c r="N13" s="42" t="s">
        <v>413</v>
      </c>
      <c r="O13" s="82">
        <v>85.78</v>
      </c>
      <c r="P13" s="82" t="s">
        <v>69</v>
      </c>
      <c r="Q13" s="82">
        <v>85.78</v>
      </c>
      <c r="R13" s="84">
        <f t="shared" si="0"/>
        <v>0</v>
      </c>
    </row>
    <row r="14" spans="1:18" x14ac:dyDescent="0.35">
      <c r="A14" s="41">
        <v>11323644</v>
      </c>
      <c r="B14" s="42" t="s">
        <v>103</v>
      </c>
      <c r="C14" s="11">
        <v>65.31</v>
      </c>
      <c r="D14" s="11" t="s">
        <v>69</v>
      </c>
      <c r="E14" s="3"/>
      <c r="F14" s="18">
        <v>11323644</v>
      </c>
      <c r="G14" s="9" t="s">
        <v>266</v>
      </c>
      <c r="H14" s="10">
        <v>65.31</v>
      </c>
      <c r="I14" s="10" t="s">
        <v>69</v>
      </c>
      <c r="J14" s="76">
        <v>65.31</v>
      </c>
      <c r="K14" s="2" t="s">
        <v>398</v>
      </c>
      <c r="L14" s="53">
        <v>65.31</v>
      </c>
      <c r="M14" s="80">
        <v>11323644</v>
      </c>
      <c r="N14" s="42" t="s">
        <v>415</v>
      </c>
      <c r="O14" s="82">
        <v>65.31</v>
      </c>
      <c r="P14" s="82" t="s">
        <v>69</v>
      </c>
      <c r="Q14" s="82">
        <v>65.31</v>
      </c>
      <c r="R14" s="84">
        <f t="shared" si="0"/>
        <v>0</v>
      </c>
    </row>
    <row r="15" spans="1:18" x14ac:dyDescent="0.35">
      <c r="A15" s="41">
        <v>11323677</v>
      </c>
      <c r="B15" s="42" t="s">
        <v>104</v>
      </c>
      <c r="C15" s="11">
        <v>56.14</v>
      </c>
      <c r="D15" s="11" t="s">
        <v>69</v>
      </c>
      <c r="E15" s="3"/>
      <c r="F15" s="18">
        <v>11323677</v>
      </c>
      <c r="G15" s="9" t="s">
        <v>267</v>
      </c>
      <c r="H15" s="10">
        <v>56.14</v>
      </c>
      <c r="I15" s="10" t="s">
        <v>69</v>
      </c>
      <c r="J15" s="76">
        <v>56.14</v>
      </c>
      <c r="K15" s="2" t="s">
        <v>398</v>
      </c>
      <c r="L15" s="53">
        <v>56.14</v>
      </c>
      <c r="M15" s="80">
        <v>11323677</v>
      </c>
      <c r="N15" s="42" t="s">
        <v>416</v>
      </c>
      <c r="O15" s="82">
        <v>56.14</v>
      </c>
      <c r="P15" s="82" t="s">
        <v>69</v>
      </c>
      <c r="Q15" s="82">
        <v>56.14</v>
      </c>
      <c r="R15" s="84">
        <f t="shared" si="0"/>
        <v>0</v>
      </c>
    </row>
    <row r="16" spans="1:18" x14ac:dyDescent="0.35">
      <c r="A16" s="41">
        <v>11323688</v>
      </c>
      <c r="B16" s="42" t="s">
        <v>106</v>
      </c>
      <c r="C16" s="11">
        <v>66.25</v>
      </c>
      <c r="D16" s="11" t="s">
        <v>69</v>
      </c>
      <c r="E16" s="3"/>
      <c r="F16" s="18">
        <v>11323688</v>
      </c>
      <c r="G16" s="9" t="s">
        <v>268</v>
      </c>
      <c r="H16" s="10">
        <v>66.25</v>
      </c>
      <c r="I16" s="10" t="s">
        <v>69</v>
      </c>
      <c r="J16" s="76">
        <v>66.25</v>
      </c>
      <c r="K16" s="2" t="s">
        <v>398</v>
      </c>
      <c r="L16" s="53">
        <v>66.25</v>
      </c>
      <c r="M16" s="80">
        <v>11323688</v>
      </c>
      <c r="N16" s="42" t="s">
        <v>418</v>
      </c>
      <c r="O16" s="82">
        <v>66.25</v>
      </c>
      <c r="P16" s="82" t="s">
        <v>69</v>
      </c>
      <c r="Q16" s="82">
        <v>66.25</v>
      </c>
      <c r="R16" s="84">
        <f t="shared" si="0"/>
        <v>0</v>
      </c>
    </row>
    <row r="17" spans="1:18" x14ac:dyDescent="0.35">
      <c r="A17" s="41">
        <v>11323703</v>
      </c>
      <c r="B17" s="42" t="s">
        <v>108</v>
      </c>
      <c r="C17" s="11">
        <v>67.44</v>
      </c>
      <c r="D17" s="11" t="s">
        <v>69</v>
      </c>
      <c r="E17" s="3"/>
      <c r="F17" s="18">
        <v>11323703</v>
      </c>
      <c r="G17" s="9" t="s">
        <v>270</v>
      </c>
      <c r="H17" s="10">
        <v>67.44</v>
      </c>
      <c r="I17" s="10" t="s">
        <v>69</v>
      </c>
      <c r="J17" s="76">
        <v>67.44</v>
      </c>
      <c r="K17" s="2" t="s">
        <v>398</v>
      </c>
      <c r="L17" s="53">
        <v>67.44</v>
      </c>
      <c r="M17" s="80">
        <v>11323703</v>
      </c>
      <c r="N17" s="42" t="s">
        <v>419</v>
      </c>
      <c r="O17" s="82">
        <v>67.44</v>
      </c>
      <c r="P17" s="82" t="s">
        <v>69</v>
      </c>
      <c r="Q17" s="82">
        <v>67.44</v>
      </c>
      <c r="R17" s="84">
        <f t="shared" si="0"/>
        <v>0</v>
      </c>
    </row>
    <row r="18" spans="1:18" x14ac:dyDescent="0.35">
      <c r="A18" s="41">
        <v>10447796</v>
      </c>
      <c r="B18" s="42" t="s">
        <v>80</v>
      </c>
      <c r="C18" s="11">
        <v>54.8</v>
      </c>
      <c r="D18" s="11" t="s">
        <v>69</v>
      </c>
      <c r="E18" s="3"/>
      <c r="F18" s="18">
        <v>10447796</v>
      </c>
      <c r="G18" s="9" t="s">
        <v>250</v>
      </c>
      <c r="H18" s="10">
        <v>54.8</v>
      </c>
      <c r="I18" s="10" t="s">
        <v>69</v>
      </c>
      <c r="J18" s="76">
        <v>54.8</v>
      </c>
      <c r="K18" s="2" t="s">
        <v>398</v>
      </c>
      <c r="L18" s="53">
        <v>54.8</v>
      </c>
      <c r="M18" s="80">
        <v>10447796</v>
      </c>
      <c r="N18" s="42" t="s">
        <v>404</v>
      </c>
      <c r="O18" s="82">
        <v>54.8</v>
      </c>
      <c r="P18" s="82" t="s">
        <v>69</v>
      </c>
      <c r="Q18" s="82">
        <v>54.8</v>
      </c>
      <c r="R18" s="84">
        <f t="shared" si="0"/>
        <v>0</v>
      </c>
    </row>
    <row r="19" spans="1:18" x14ac:dyDescent="0.35">
      <c r="A19" s="41">
        <v>11323714</v>
      </c>
      <c r="B19" s="42" t="s">
        <v>117</v>
      </c>
      <c r="C19" s="11">
        <v>76.08</v>
      </c>
      <c r="D19" s="11" t="s">
        <v>69</v>
      </c>
      <c r="E19" s="3"/>
      <c r="F19" s="18">
        <v>11323714</v>
      </c>
      <c r="G19" s="9" t="s">
        <v>278</v>
      </c>
      <c r="H19" s="10">
        <v>76.08</v>
      </c>
      <c r="I19" s="10" t="s">
        <v>69</v>
      </c>
      <c r="J19" s="76">
        <v>76.08</v>
      </c>
      <c r="K19" s="2" t="s">
        <v>398</v>
      </c>
      <c r="L19" s="53">
        <v>76.08</v>
      </c>
      <c r="M19" s="80">
        <v>11323714</v>
      </c>
      <c r="N19" s="42" t="s">
        <v>431</v>
      </c>
      <c r="O19" s="82">
        <v>76.08</v>
      </c>
      <c r="P19" s="82" t="s">
        <v>69</v>
      </c>
      <c r="Q19" s="82">
        <v>76.08</v>
      </c>
      <c r="R19" s="84">
        <f t="shared" si="0"/>
        <v>0</v>
      </c>
    </row>
    <row r="20" spans="1:18" x14ac:dyDescent="0.35">
      <c r="A20" s="41">
        <v>11323758</v>
      </c>
      <c r="B20" s="42" t="s">
        <v>125</v>
      </c>
      <c r="C20" s="11">
        <v>53.79</v>
      </c>
      <c r="D20" s="11" t="s">
        <v>69</v>
      </c>
      <c r="E20" s="3"/>
      <c r="F20" s="18">
        <v>11323758</v>
      </c>
      <c r="G20" s="9" t="s">
        <v>286</v>
      </c>
      <c r="H20" s="10">
        <v>53.79</v>
      </c>
      <c r="I20" s="10" t="s">
        <v>69</v>
      </c>
      <c r="J20" s="76">
        <v>53.79</v>
      </c>
      <c r="K20" s="2" t="s">
        <v>398</v>
      </c>
      <c r="L20" s="53">
        <v>53.79</v>
      </c>
      <c r="M20" s="80">
        <v>11323758</v>
      </c>
      <c r="N20" s="42" t="s">
        <v>433</v>
      </c>
      <c r="O20" s="82">
        <v>53.79</v>
      </c>
      <c r="P20" s="82" t="s">
        <v>69</v>
      </c>
      <c r="Q20" s="82">
        <v>53.79</v>
      </c>
      <c r="R20" s="84">
        <f t="shared" si="0"/>
        <v>0</v>
      </c>
    </row>
    <row r="21" spans="1:18" x14ac:dyDescent="0.35">
      <c r="A21" s="41">
        <v>11323817</v>
      </c>
      <c r="B21" s="42" t="s">
        <v>127</v>
      </c>
      <c r="C21" s="11">
        <v>77.88</v>
      </c>
      <c r="D21" s="11" t="s">
        <v>69</v>
      </c>
      <c r="E21" s="3"/>
      <c r="F21" s="18">
        <v>11323817</v>
      </c>
      <c r="G21" s="9" t="s">
        <v>288</v>
      </c>
      <c r="H21" s="10">
        <v>77.88</v>
      </c>
      <c r="I21" s="10" t="s">
        <v>69</v>
      </c>
      <c r="J21" s="76">
        <v>77.88</v>
      </c>
      <c r="K21" s="2" t="s">
        <v>398</v>
      </c>
      <c r="L21" s="53">
        <v>77.88</v>
      </c>
      <c r="M21" s="80">
        <v>11323817</v>
      </c>
      <c r="N21" s="42" t="s">
        <v>427</v>
      </c>
      <c r="O21" s="82">
        <v>77.88</v>
      </c>
      <c r="P21" s="82" t="s">
        <v>69</v>
      </c>
      <c r="Q21" s="82">
        <v>77.88</v>
      </c>
      <c r="R21" s="84">
        <f t="shared" si="0"/>
        <v>0</v>
      </c>
    </row>
    <row r="22" spans="1:18" x14ac:dyDescent="0.35">
      <c r="A22" s="41">
        <v>11323828</v>
      </c>
      <c r="B22" s="42" t="s">
        <v>128</v>
      </c>
      <c r="C22" s="11">
        <v>58.54</v>
      </c>
      <c r="D22" s="11" t="s">
        <v>69</v>
      </c>
      <c r="E22" s="3"/>
      <c r="F22" s="18">
        <v>11323828</v>
      </c>
      <c r="G22" s="9" t="s">
        <v>289</v>
      </c>
      <c r="H22" s="10">
        <v>58.54</v>
      </c>
      <c r="I22" s="10" t="s">
        <v>69</v>
      </c>
      <c r="J22" s="76">
        <v>58.54</v>
      </c>
      <c r="K22" s="2" t="s">
        <v>398</v>
      </c>
      <c r="L22" s="53">
        <v>58.54</v>
      </c>
      <c r="M22" s="80">
        <v>11323828</v>
      </c>
      <c r="N22" s="42" t="s">
        <v>434</v>
      </c>
      <c r="O22" s="82">
        <v>58.54</v>
      </c>
      <c r="P22" s="82" t="s">
        <v>69</v>
      </c>
      <c r="Q22" s="82">
        <v>58.54</v>
      </c>
      <c r="R22" s="84">
        <f t="shared" si="0"/>
        <v>0</v>
      </c>
    </row>
    <row r="23" spans="1:18" x14ac:dyDescent="0.35">
      <c r="A23" s="41">
        <v>11323851</v>
      </c>
      <c r="B23" s="42" t="s">
        <v>132</v>
      </c>
      <c r="C23" s="11">
        <v>69.14</v>
      </c>
      <c r="D23" s="11" t="s">
        <v>69</v>
      </c>
      <c r="E23" s="3"/>
      <c r="F23" s="79">
        <v>11323851</v>
      </c>
      <c r="G23" s="9" t="s">
        <v>292</v>
      </c>
      <c r="H23" s="10">
        <v>69.14</v>
      </c>
      <c r="I23" s="10" t="s">
        <v>69</v>
      </c>
      <c r="J23" s="76">
        <v>69.14</v>
      </c>
      <c r="K23" s="2" t="s">
        <v>398</v>
      </c>
      <c r="L23" s="53">
        <v>69.14</v>
      </c>
      <c r="M23" s="80"/>
      <c r="N23" s="42"/>
      <c r="O23" s="82"/>
      <c r="P23" s="82" t="s">
        <v>69</v>
      </c>
      <c r="Q23" s="82"/>
      <c r="R23" s="85">
        <f t="shared" si="0"/>
        <v>-69.14</v>
      </c>
    </row>
    <row r="24" spans="1:18" x14ac:dyDescent="0.35">
      <c r="A24" s="41">
        <v>10447774</v>
      </c>
      <c r="B24" s="42" t="s">
        <v>134</v>
      </c>
      <c r="C24" s="11">
        <v>75.540000000000006</v>
      </c>
      <c r="D24" s="11" t="s">
        <v>69</v>
      </c>
      <c r="E24" s="3"/>
      <c r="F24" s="18">
        <v>10447774</v>
      </c>
      <c r="G24" s="9" t="s">
        <v>293</v>
      </c>
      <c r="H24" s="10">
        <v>75.540000000000006</v>
      </c>
      <c r="I24" s="10" t="s">
        <v>69</v>
      </c>
      <c r="J24" s="76">
        <v>75.540000000000006</v>
      </c>
      <c r="K24" s="2" t="s">
        <v>398</v>
      </c>
      <c r="L24" s="53">
        <v>75.540000000000006</v>
      </c>
      <c r="M24" s="80">
        <v>10447774</v>
      </c>
      <c r="N24" s="42" t="s">
        <v>438</v>
      </c>
      <c r="O24" s="82">
        <v>75.540000000000006</v>
      </c>
      <c r="P24" s="82" t="s">
        <v>69</v>
      </c>
      <c r="Q24" s="82">
        <v>75.540000000000006</v>
      </c>
      <c r="R24" s="84">
        <f t="shared" si="0"/>
        <v>0</v>
      </c>
    </row>
    <row r="25" spans="1:18" x14ac:dyDescent="0.35">
      <c r="A25" s="41">
        <v>10447763</v>
      </c>
      <c r="B25" s="42" t="s">
        <v>135</v>
      </c>
      <c r="C25" s="11">
        <v>73.010000000000005</v>
      </c>
      <c r="D25" s="11" t="s">
        <v>69</v>
      </c>
      <c r="E25" s="3"/>
      <c r="F25" s="18">
        <v>10447763</v>
      </c>
      <c r="G25" s="9" t="s">
        <v>294</v>
      </c>
      <c r="H25" s="10">
        <v>73.010000000000005</v>
      </c>
      <c r="I25" s="10" t="s">
        <v>69</v>
      </c>
      <c r="J25" s="76">
        <v>73.010000000000005</v>
      </c>
      <c r="K25" s="2" t="s">
        <v>398</v>
      </c>
      <c r="L25" s="53">
        <v>73.010000000000005</v>
      </c>
      <c r="M25" s="80">
        <v>10447763</v>
      </c>
      <c r="N25" s="42" t="s">
        <v>417</v>
      </c>
      <c r="O25" s="82">
        <v>73.010000000000005</v>
      </c>
      <c r="P25" s="82" t="s">
        <v>69</v>
      </c>
      <c r="Q25" s="82">
        <v>73.010000000000005</v>
      </c>
      <c r="R25" s="84">
        <f t="shared" si="0"/>
        <v>0</v>
      </c>
    </row>
    <row r="26" spans="1:18" x14ac:dyDescent="0.35">
      <c r="A26" s="41">
        <v>10447811</v>
      </c>
      <c r="B26" s="42" t="s">
        <v>139</v>
      </c>
      <c r="C26" s="11">
        <v>80.84</v>
      </c>
      <c r="D26" s="11" t="s">
        <v>69</v>
      </c>
      <c r="E26" s="3"/>
      <c r="F26" s="18">
        <v>10447811</v>
      </c>
      <c r="G26" s="9" t="s">
        <v>297</v>
      </c>
      <c r="H26" s="10">
        <v>80.84</v>
      </c>
      <c r="I26" s="10" t="s">
        <v>69</v>
      </c>
      <c r="J26" s="76">
        <v>80.84</v>
      </c>
      <c r="K26" s="2" t="s">
        <v>398</v>
      </c>
      <c r="L26" s="53">
        <v>80.84</v>
      </c>
      <c r="M26" s="80">
        <v>10447811</v>
      </c>
      <c r="N26" s="42" t="s">
        <v>440</v>
      </c>
      <c r="O26" s="82">
        <v>80.84</v>
      </c>
      <c r="P26" s="82" t="s">
        <v>69</v>
      </c>
      <c r="Q26" s="82">
        <v>80.84</v>
      </c>
      <c r="R26" s="84">
        <f t="shared" si="0"/>
        <v>0</v>
      </c>
    </row>
    <row r="27" spans="1:18" x14ac:dyDescent="0.35">
      <c r="A27" s="41">
        <v>11323862</v>
      </c>
      <c r="B27" s="42" t="s">
        <v>140</v>
      </c>
      <c r="C27" s="11">
        <v>62.17</v>
      </c>
      <c r="D27" s="11" t="s">
        <v>69</v>
      </c>
      <c r="E27" s="3"/>
      <c r="F27" s="79">
        <v>11323862</v>
      </c>
      <c r="G27" s="9" t="s">
        <v>298</v>
      </c>
      <c r="H27" s="10">
        <v>62.17</v>
      </c>
      <c r="I27" s="10" t="s">
        <v>69</v>
      </c>
      <c r="J27" s="76">
        <v>62.17</v>
      </c>
      <c r="K27" s="2" t="s">
        <v>398</v>
      </c>
      <c r="L27" s="53">
        <v>62.17</v>
      </c>
      <c r="M27" s="80">
        <v>11323862</v>
      </c>
      <c r="N27" s="42" t="s">
        <v>442</v>
      </c>
      <c r="O27" s="82">
        <v>62.17</v>
      </c>
      <c r="P27" s="82" t="s">
        <v>69</v>
      </c>
      <c r="Q27" s="82">
        <v>62.17</v>
      </c>
      <c r="R27" s="84">
        <f t="shared" si="0"/>
        <v>0</v>
      </c>
    </row>
    <row r="28" spans="1:18" hidden="1" x14ac:dyDescent="0.35">
      <c r="A28" s="41"/>
      <c r="B28" s="42"/>
      <c r="C28" s="11"/>
      <c r="D28" s="11"/>
      <c r="E28" s="3"/>
      <c r="F28" s="18"/>
      <c r="G28" s="9"/>
      <c r="H28" s="10"/>
      <c r="I28" s="10"/>
      <c r="J28" s="76"/>
      <c r="K28" s="2" t="str">
        <f t="shared" ref="K28:K71" si="1">IF(I28="-", IF(J28&lt;$K$6, "Failed!", "pass"), IF(AND(H28&gt;=$J$6, I28&gt;=$J$6, J28&gt;=$K$6), "pass", "Failed!"))</f>
        <v>Failed!</v>
      </c>
      <c r="L28" s="53"/>
      <c r="M28" s="80"/>
      <c r="N28" s="42"/>
      <c r="O28" s="82"/>
      <c r="P28" s="82"/>
      <c r="Q28" s="82"/>
    </row>
    <row r="29" spans="1:18" hidden="1" x14ac:dyDescent="0.35">
      <c r="A29" s="41"/>
      <c r="B29" s="42"/>
      <c r="C29" s="11"/>
      <c r="D29" s="11"/>
      <c r="E29" s="3"/>
      <c r="F29" s="18"/>
      <c r="G29" s="9"/>
      <c r="H29" s="10"/>
      <c r="I29" s="10"/>
      <c r="J29" s="76"/>
      <c r="K29" s="2" t="str">
        <f t="shared" si="1"/>
        <v>Failed!</v>
      </c>
      <c r="L29" s="53"/>
      <c r="M29" s="80"/>
      <c r="N29" s="42"/>
      <c r="O29" s="82"/>
      <c r="P29" s="82"/>
      <c r="Q29" s="82"/>
    </row>
    <row r="30" spans="1:18" hidden="1" x14ac:dyDescent="0.35">
      <c r="A30" s="41"/>
      <c r="B30" s="42"/>
      <c r="C30" s="11"/>
      <c r="D30" s="11"/>
      <c r="E30" s="3"/>
      <c r="F30" s="18"/>
      <c r="G30" s="9"/>
      <c r="H30" s="10"/>
      <c r="I30" s="10"/>
      <c r="J30" s="76"/>
      <c r="K30" s="2" t="str">
        <f t="shared" si="1"/>
        <v>Failed!</v>
      </c>
      <c r="L30" s="53"/>
      <c r="M30" s="80"/>
      <c r="N30" s="42"/>
      <c r="O30" s="82"/>
      <c r="P30" s="82"/>
      <c r="Q30" s="82"/>
    </row>
    <row r="31" spans="1:18" hidden="1" x14ac:dyDescent="0.35">
      <c r="A31" s="41"/>
      <c r="B31" s="42"/>
      <c r="C31" s="11"/>
      <c r="D31" s="11"/>
      <c r="E31" s="3"/>
      <c r="F31" s="18"/>
      <c r="G31" s="9"/>
      <c r="H31" s="10"/>
      <c r="I31" s="10"/>
      <c r="J31" s="76"/>
      <c r="K31" s="2" t="str">
        <f t="shared" si="1"/>
        <v>Failed!</v>
      </c>
      <c r="L31" s="53"/>
      <c r="M31" s="80"/>
      <c r="N31" s="42"/>
      <c r="O31" s="82"/>
      <c r="P31" s="82"/>
      <c r="Q31" s="82"/>
    </row>
    <row r="32" spans="1:18" hidden="1" x14ac:dyDescent="0.35">
      <c r="A32" s="41"/>
      <c r="B32" s="42"/>
      <c r="C32" s="11"/>
      <c r="D32" s="11"/>
      <c r="E32" s="3"/>
      <c r="F32" s="18"/>
      <c r="G32" s="9"/>
      <c r="H32" s="10"/>
      <c r="I32" s="10"/>
      <c r="J32" s="76"/>
      <c r="K32" s="2" t="str">
        <f t="shared" si="1"/>
        <v>Failed!</v>
      </c>
      <c r="L32" s="53"/>
      <c r="M32" s="80"/>
      <c r="N32" s="42"/>
      <c r="O32" s="82"/>
      <c r="P32" s="82"/>
      <c r="Q32" s="82"/>
    </row>
    <row r="33" spans="1:17" hidden="1" x14ac:dyDescent="0.35">
      <c r="A33" s="41"/>
      <c r="B33" s="42"/>
      <c r="C33" s="11"/>
      <c r="D33" s="11"/>
      <c r="E33" s="3"/>
      <c r="F33" s="18"/>
      <c r="G33" s="9"/>
      <c r="H33" s="10"/>
      <c r="I33" s="10"/>
      <c r="J33" s="76"/>
      <c r="K33" s="2" t="str">
        <f t="shared" si="1"/>
        <v>Failed!</v>
      </c>
      <c r="L33" s="53"/>
      <c r="M33" s="80"/>
      <c r="N33" s="42"/>
      <c r="O33" s="82"/>
      <c r="P33" s="82"/>
      <c r="Q33" s="82"/>
    </row>
    <row r="34" spans="1:17" hidden="1" x14ac:dyDescent="0.35">
      <c r="A34" s="41"/>
      <c r="B34" s="42"/>
      <c r="C34" s="11"/>
      <c r="D34" s="11"/>
      <c r="E34" s="3"/>
      <c r="F34" s="18"/>
      <c r="G34" s="9"/>
      <c r="H34" s="10"/>
      <c r="I34" s="10"/>
      <c r="J34" s="76"/>
      <c r="K34" s="2" t="str">
        <f t="shared" si="1"/>
        <v>Failed!</v>
      </c>
      <c r="L34" s="53"/>
      <c r="M34" s="80"/>
      <c r="N34" s="42"/>
      <c r="O34" s="82"/>
      <c r="P34" s="82"/>
      <c r="Q34" s="82"/>
    </row>
    <row r="35" spans="1:17" hidden="1" x14ac:dyDescent="0.35">
      <c r="A35" s="41"/>
      <c r="B35" s="42"/>
      <c r="C35" s="11"/>
      <c r="D35" s="11"/>
      <c r="E35" s="3"/>
      <c r="F35" s="18"/>
      <c r="G35" s="9"/>
      <c r="H35" s="10"/>
      <c r="I35" s="10"/>
      <c r="J35" s="76"/>
      <c r="K35" s="2" t="str">
        <f t="shared" si="1"/>
        <v>Failed!</v>
      </c>
      <c r="L35" s="53"/>
      <c r="M35" s="80"/>
      <c r="N35" s="42"/>
      <c r="O35" s="82"/>
      <c r="P35" s="82"/>
      <c r="Q35" s="82"/>
    </row>
    <row r="36" spans="1:17" hidden="1" x14ac:dyDescent="0.35">
      <c r="A36" s="41"/>
      <c r="B36" s="42"/>
      <c r="C36" s="11"/>
      <c r="D36" s="11"/>
      <c r="E36" s="3"/>
      <c r="F36" s="18"/>
      <c r="G36" s="9"/>
      <c r="H36" s="10"/>
      <c r="I36" s="10"/>
      <c r="J36" s="76"/>
      <c r="K36" s="2" t="str">
        <f t="shared" si="1"/>
        <v>Failed!</v>
      </c>
      <c r="L36" s="53"/>
      <c r="M36" s="80"/>
      <c r="N36" s="42"/>
      <c r="O36" s="82"/>
      <c r="P36" s="82"/>
      <c r="Q36" s="82"/>
    </row>
    <row r="37" spans="1:17" hidden="1" x14ac:dyDescent="0.35">
      <c r="A37" s="41"/>
      <c r="B37" s="42"/>
      <c r="C37" s="11"/>
      <c r="D37" s="11"/>
      <c r="E37" s="3"/>
      <c r="F37" s="18"/>
      <c r="G37" s="9"/>
      <c r="H37" s="10"/>
      <c r="I37" s="10"/>
      <c r="J37" s="76"/>
      <c r="K37" s="2" t="str">
        <f t="shared" si="1"/>
        <v>Failed!</v>
      </c>
      <c r="L37" s="53"/>
      <c r="M37" s="80"/>
      <c r="N37" s="42"/>
      <c r="O37" s="82"/>
      <c r="P37" s="82"/>
      <c r="Q37" s="82"/>
    </row>
    <row r="38" spans="1:17" hidden="1" x14ac:dyDescent="0.35">
      <c r="A38" s="41"/>
      <c r="B38" s="42"/>
      <c r="C38" s="11"/>
      <c r="D38" s="11"/>
      <c r="E38" s="3"/>
      <c r="F38" s="18"/>
      <c r="G38" s="9"/>
      <c r="H38" s="10"/>
      <c r="I38" s="10"/>
      <c r="J38" s="76"/>
      <c r="K38" s="2" t="str">
        <f t="shared" si="1"/>
        <v>Failed!</v>
      </c>
      <c r="L38" s="53"/>
      <c r="M38" s="80"/>
      <c r="N38" s="42"/>
      <c r="O38" s="82"/>
      <c r="P38" s="82"/>
      <c r="Q38" s="82"/>
    </row>
    <row r="39" spans="1:17" hidden="1" x14ac:dyDescent="0.35">
      <c r="A39" s="41"/>
      <c r="B39" s="42"/>
      <c r="C39" s="11"/>
      <c r="D39" s="11"/>
      <c r="E39" s="3"/>
      <c r="F39" s="18"/>
      <c r="G39" s="9"/>
      <c r="H39" s="10"/>
      <c r="I39" s="10"/>
      <c r="J39" s="76"/>
      <c r="K39" s="2" t="str">
        <f t="shared" si="1"/>
        <v>Failed!</v>
      </c>
      <c r="L39" s="53"/>
      <c r="M39" s="80"/>
      <c r="N39" s="42"/>
      <c r="O39" s="82"/>
      <c r="P39" s="82"/>
      <c r="Q39" s="82"/>
    </row>
    <row r="40" spans="1:17" hidden="1" x14ac:dyDescent="0.35">
      <c r="A40" s="41"/>
      <c r="B40" s="42"/>
      <c r="C40" s="11"/>
      <c r="D40" s="11"/>
      <c r="E40" s="3"/>
      <c r="F40" s="18"/>
      <c r="G40" s="9"/>
      <c r="H40" s="10"/>
      <c r="I40" s="10"/>
      <c r="J40" s="76"/>
      <c r="K40" s="2" t="str">
        <f t="shared" si="1"/>
        <v>Failed!</v>
      </c>
      <c r="L40" s="53"/>
      <c r="M40" s="80"/>
      <c r="N40" s="42"/>
      <c r="O40" s="82"/>
      <c r="P40" s="82"/>
      <c r="Q40" s="82"/>
    </row>
    <row r="41" spans="1:17" hidden="1" x14ac:dyDescent="0.35">
      <c r="A41" s="41"/>
      <c r="B41" s="42"/>
      <c r="C41" s="11"/>
      <c r="D41" s="11"/>
      <c r="E41" s="3"/>
      <c r="F41" s="18"/>
      <c r="G41" s="9"/>
      <c r="H41" s="10"/>
      <c r="I41" s="10"/>
      <c r="J41" s="76"/>
      <c r="K41" s="2" t="str">
        <f t="shared" si="1"/>
        <v>Failed!</v>
      </c>
      <c r="L41" s="53"/>
      <c r="M41" s="80"/>
      <c r="N41" s="42"/>
      <c r="O41" s="82"/>
      <c r="P41" s="82"/>
      <c r="Q41" s="82"/>
    </row>
    <row r="42" spans="1:17" hidden="1" x14ac:dyDescent="0.35">
      <c r="A42" s="41"/>
      <c r="B42" s="42"/>
      <c r="C42" s="11"/>
      <c r="D42" s="11"/>
      <c r="E42" s="3"/>
      <c r="F42" s="18"/>
      <c r="G42" s="9"/>
      <c r="H42" s="10"/>
      <c r="I42" s="10"/>
      <c r="J42" s="76"/>
      <c r="K42" s="2" t="str">
        <f t="shared" si="1"/>
        <v>Failed!</v>
      </c>
      <c r="L42" s="53"/>
      <c r="M42" s="80"/>
      <c r="N42" s="42"/>
      <c r="O42" s="82"/>
      <c r="P42" s="82"/>
      <c r="Q42" s="82"/>
    </row>
    <row r="43" spans="1:17" hidden="1" x14ac:dyDescent="0.35">
      <c r="A43" s="41"/>
      <c r="B43" s="42"/>
      <c r="C43" s="11"/>
      <c r="D43" s="11"/>
      <c r="E43" s="3"/>
      <c r="F43" s="18"/>
      <c r="G43" s="9"/>
      <c r="H43" s="10"/>
      <c r="I43" s="10"/>
      <c r="J43" s="76"/>
      <c r="K43" s="2" t="str">
        <f t="shared" si="1"/>
        <v>Failed!</v>
      </c>
      <c r="L43" s="53"/>
      <c r="M43" s="80"/>
      <c r="N43" s="42"/>
      <c r="O43" s="82"/>
      <c r="P43" s="82"/>
      <c r="Q43" s="82"/>
    </row>
    <row r="44" spans="1:17" hidden="1" x14ac:dyDescent="0.35">
      <c r="A44" s="41"/>
      <c r="B44" s="42"/>
      <c r="C44" s="11"/>
      <c r="D44" s="11"/>
      <c r="E44" s="3"/>
      <c r="F44" s="18"/>
      <c r="G44" s="9"/>
      <c r="H44" s="10"/>
      <c r="I44" s="10"/>
      <c r="J44" s="76"/>
      <c r="K44" s="2" t="str">
        <f t="shared" si="1"/>
        <v>Failed!</v>
      </c>
      <c r="L44" s="53"/>
      <c r="M44" s="80"/>
      <c r="N44" s="42"/>
      <c r="O44" s="82"/>
      <c r="P44" s="82"/>
      <c r="Q44" s="82"/>
    </row>
    <row r="45" spans="1:17" hidden="1" x14ac:dyDescent="0.35">
      <c r="A45" s="41"/>
      <c r="B45" s="42"/>
      <c r="C45" s="11"/>
      <c r="D45" s="11"/>
      <c r="E45" s="3"/>
      <c r="F45" s="18"/>
      <c r="G45" s="9"/>
      <c r="H45" s="10"/>
      <c r="I45" s="10"/>
      <c r="J45" s="76"/>
      <c r="K45" s="2" t="str">
        <f t="shared" si="1"/>
        <v>Failed!</v>
      </c>
      <c r="L45" s="53"/>
      <c r="M45" s="80"/>
      <c r="N45" s="42"/>
      <c r="O45" s="82"/>
      <c r="P45" s="82"/>
      <c r="Q45" s="82"/>
    </row>
    <row r="46" spans="1:17" hidden="1" x14ac:dyDescent="0.35">
      <c r="A46" s="41"/>
      <c r="B46" s="42"/>
      <c r="C46" s="11"/>
      <c r="D46" s="11"/>
      <c r="E46" s="3"/>
      <c r="F46" s="18"/>
      <c r="G46" s="9"/>
      <c r="H46" s="10"/>
      <c r="I46" s="10"/>
      <c r="J46" s="76"/>
      <c r="K46" s="2" t="str">
        <f t="shared" si="1"/>
        <v>Failed!</v>
      </c>
      <c r="L46" s="53"/>
      <c r="M46" s="80"/>
      <c r="N46" s="42"/>
      <c r="O46" s="82"/>
      <c r="P46" s="82"/>
      <c r="Q46" s="82"/>
    </row>
    <row r="47" spans="1:17" hidden="1" x14ac:dyDescent="0.35">
      <c r="A47" s="41"/>
      <c r="B47" s="42"/>
      <c r="C47" s="11"/>
      <c r="D47" s="11"/>
      <c r="E47" s="3"/>
      <c r="F47" s="19"/>
      <c r="G47" s="1"/>
      <c r="H47" s="12"/>
      <c r="I47" s="12"/>
      <c r="J47" s="77"/>
      <c r="K47" s="2" t="str">
        <f t="shared" si="1"/>
        <v>Failed!</v>
      </c>
      <c r="L47" s="53"/>
      <c r="M47" s="80"/>
      <c r="N47" s="42"/>
      <c r="O47" s="82"/>
      <c r="P47" s="82"/>
      <c r="Q47" s="82"/>
    </row>
    <row r="48" spans="1:17" hidden="1" x14ac:dyDescent="0.35">
      <c r="A48" s="41"/>
      <c r="B48" s="42"/>
      <c r="C48" s="11"/>
      <c r="D48" s="11"/>
      <c r="E48" s="3"/>
      <c r="F48" s="19"/>
      <c r="G48" s="1"/>
      <c r="H48" s="12"/>
      <c r="I48" s="12"/>
      <c r="J48" s="77"/>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8"/>
      <c r="G57" s="9"/>
      <c r="H57" s="10"/>
      <c r="I57" s="10"/>
      <c r="J57" s="76"/>
      <c r="K57" s="2" t="str">
        <f t="shared" si="1"/>
        <v>Failed!</v>
      </c>
      <c r="L57" s="53"/>
      <c r="M57" s="80"/>
      <c r="N57" s="42"/>
      <c r="O57" s="82"/>
      <c r="P57" s="82"/>
      <c r="Q57" s="82"/>
    </row>
    <row r="58" spans="1:17" hidden="1" x14ac:dyDescent="0.35">
      <c r="A58" s="41"/>
      <c r="B58" s="42"/>
      <c r="C58" s="11"/>
      <c r="D58" s="11"/>
      <c r="E58" s="3"/>
      <c r="F58" s="18"/>
      <c r="G58" s="9"/>
      <c r="H58" s="10"/>
      <c r="I58" s="10"/>
      <c r="J58" s="76"/>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ref="K72:K86" si="2">IF(I72="-", IF(J72&lt;$K$6, "Failed!", "pass"), IF(AND(H72&gt;=$J$6, I72&gt;=$J$6, J72&gt;=$K$6), "pass", "Failed!"))</f>
        <v>Failed!</v>
      </c>
      <c r="L72" s="53"/>
      <c r="M72" s="80"/>
      <c r="N72" s="42"/>
      <c r="O72" s="82"/>
      <c r="P72" s="82"/>
      <c r="Q72" s="82"/>
    </row>
    <row r="73" spans="1:17" hidden="1" x14ac:dyDescent="0.35">
      <c r="A73" s="41"/>
      <c r="B73" s="42"/>
      <c r="C73" s="11"/>
      <c r="D73" s="11"/>
      <c r="E73" s="3"/>
      <c r="F73" s="18"/>
      <c r="G73" s="9"/>
      <c r="H73" s="10"/>
      <c r="I73" s="10"/>
      <c r="J73" s="76"/>
      <c r="K73" s="2" t="str">
        <f t="shared" si="2"/>
        <v>Failed!</v>
      </c>
      <c r="L73" s="53"/>
      <c r="M73" s="80"/>
      <c r="N73" s="42"/>
      <c r="O73" s="82"/>
      <c r="P73" s="82"/>
      <c r="Q73" s="82"/>
    </row>
    <row r="74" spans="1:17" hidden="1" x14ac:dyDescent="0.35">
      <c r="A74" s="41"/>
      <c r="B74" s="42"/>
      <c r="C74" s="11"/>
      <c r="D74" s="11"/>
      <c r="E74" s="3"/>
      <c r="F74" s="18"/>
      <c r="G74" s="9"/>
      <c r="H74" s="10"/>
      <c r="I74" s="10"/>
      <c r="J74" s="76"/>
      <c r="K74" s="2" t="str">
        <f t="shared" si="2"/>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x14ac:dyDescent="0.35">
      <c r="M87" s="4"/>
    </row>
    <row r="88" spans="1:17" x14ac:dyDescent="0.35">
      <c r="F88" s="4">
        <f>COUNTA(F10:F86)</f>
        <v>18</v>
      </c>
      <c r="G88" s="2" t="s">
        <v>14</v>
      </c>
      <c r="H88" s="40">
        <f>MAX(H10:H86)</f>
        <v>85.78</v>
      </c>
      <c r="I88" s="40">
        <f>MAX(I10:I86)</f>
        <v>0</v>
      </c>
      <c r="J88" s="40">
        <f>MAX(L10:L86)</f>
        <v>85.78</v>
      </c>
      <c r="M88" s="4"/>
    </row>
    <row r="89" spans="1:17" x14ac:dyDescent="0.35">
      <c r="G89" s="2" t="s">
        <v>12</v>
      </c>
      <c r="H89" s="40">
        <f>AVERAGE(H10:H86)</f>
        <v>69.211111111111109</v>
      </c>
      <c r="I89" s="40" t="e">
        <f>AVERAGE(I10:I86)</f>
        <v>#DIV/0!</v>
      </c>
      <c r="J89" s="40">
        <f>AVERAGE(L10:L86)</f>
        <v>69.211111111111109</v>
      </c>
      <c r="M89" s="4"/>
    </row>
    <row r="90" spans="1:17" x14ac:dyDescent="0.35">
      <c r="G90" s="2" t="s">
        <v>15</v>
      </c>
      <c r="H90" s="40">
        <f>MIN(H10:H86)</f>
        <v>53.79</v>
      </c>
      <c r="I90" s="40">
        <f>MIN(I10:I86)</f>
        <v>0</v>
      </c>
      <c r="J90" s="40">
        <f>MIN(L10:L86)</f>
        <v>53.79</v>
      </c>
      <c r="M90" s="4"/>
    </row>
    <row r="91" spans="1:17" x14ac:dyDescent="0.35">
      <c r="G91" s="2" t="s">
        <v>13</v>
      </c>
      <c r="H91" s="40">
        <f>STDEV(H10:H86)</f>
        <v>9.6140448051972527</v>
      </c>
      <c r="I91" s="40" t="e">
        <f>STDEV(I10:I86)</f>
        <v>#DIV/0!</v>
      </c>
      <c r="J91" s="40">
        <f>STDEV(L10:L86)</f>
        <v>9.6140448051972527</v>
      </c>
      <c r="M91" s="4"/>
    </row>
    <row r="92" spans="1:17" x14ac:dyDescent="0.35">
      <c r="G92" s="2" t="str">
        <f>"Failed count ( &lt; " &amp; K6 &amp; " )"</f>
        <v>Failed count ( &lt; 40 )</v>
      </c>
      <c r="H92" s="50">
        <f>COUNTIF(H10:H86, "&lt;40")</f>
        <v>0</v>
      </c>
      <c r="I92" s="50">
        <f>COUNTIF(I10:I86, "&lt;40")</f>
        <v>0</v>
      </c>
      <c r="J92" s="50">
        <f>COUNTIF(L10:L86, "&lt;40")</f>
        <v>0</v>
      </c>
      <c r="M92" s="4"/>
    </row>
    <row r="93" spans="1:17" x14ac:dyDescent="0.35">
      <c r="G93" s="2" t="s">
        <v>16</v>
      </c>
      <c r="H93" s="49">
        <f>1-H92/$F88</f>
        <v>1</v>
      </c>
      <c r="I93" s="49">
        <f>1-I92/$F88</f>
        <v>1</v>
      </c>
      <c r="J93" s="49">
        <f>1-J92/$F88</f>
        <v>1</v>
      </c>
      <c r="M93" s="4"/>
    </row>
    <row r="94" spans="1:17" x14ac:dyDescent="0.35">
      <c r="M94" s="4"/>
    </row>
    <row r="95" spans="1:17" x14ac:dyDescent="0.35">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6">
    <cfRule type="cellIs" dxfId="46" priority="1" operator="lessThan">
      <formula>$K$6</formula>
    </cfRule>
  </conditionalFormatting>
  <conditionalFormatting sqref="F10:I86">
    <cfRule type="expression" dxfId="45" priority="2" stopIfTrue="1">
      <formula>F10=A10</formula>
    </cfRule>
    <cfRule type="expression" dxfId="44" priority="3" stopIfTrue="1">
      <formula>F10&lt;&gt;A10</formula>
    </cfRule>
  </conditionalFormatting>
  <conditionalFormatting sqref="M10:Q27">
    <cfRule type="expression" dxfId="43" priority="4" stopIfTrue="1">
      <formula>M10=F10</formula>
    </cfRule>
    <cfRule type="expression" dxfId="4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4754"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4755"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R109"/>
  <sheetViews>
    <sheetView zoomScaleNormal="100" workbookViewId="0">
      <pane xSplit="1" ySplit="9" topLeftCell="I37" activePane="bottomRight" state="frozen"/>
      <selection activeCell="E16" sqref="E16"/>
      <selection pane="topRight" activeCell="E16" sqref="E16"/>
      <selection pane="bottomLeft" activeCell="E16" sqref="E16"/>
      <selection pane="bottomRight" activeCell="N36" sqref="N36"/>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35</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153</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154</v>
      </c>
      <c r="C5" s="14"/>
      <c r="D5" s="16"/>
      <c r="F5" s="59" t="s">
        <v>38</v>
      </c>
      <c r="L5" s="52"/>
      <c r="M5" s="47" t="s">
        <v>49</v>
      </c>
    </row>
    <row r="6" spans="1:18" x14ac:dyDescent="0.35">
      <c r="A6" s="20" t="s">
        <v>37</v>
      </c>
      <c r="B6" s="13" t="s">
        <v>68</v>
      </c>
      <c r="C6" s="14"/>
      <c r="D6" s="16"/>
      <c r="F6" s="59" t="s">
        <v>54</v>
      </c>
      <c r="J6" s="70">
        <v>35</v>
      </c>
      <c r="K6" s="70">
        <v>40</v>
      </c>
      <c r="L6" s="52"/>
      <c r="N6" s="51" t="str">
        <f>"inta301sam - bcscu.pdf"</f>
        <v>inta301sam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10447947</v>
      </c>
      <c r="B10" s="42" t="s">
        <v>155</v>
      </c>
      <c r="C10" s="11">
        <v>71</v>
      </c>
      <c r="D10" s="11" t="s">
        <v>69</v>
      </c>
      <c r="E10" s="3"/>
      <c r="F10" s="18">
        <v>10447947</v>
      </c>
      <c r="G10" s="9" t="s">
        <v>314</v>
      </c>
      <c r="H10" s="10">
        <v>71</v>
      </c>
      <c r="I10" s="10" t="s">
        <v>69</v>
      </c>
      <c r="J10" s="76">
        <v>71</v>
      </c>
      <c r="K10" s="2" t="s">
        <v>398</v>
      </c>
      <c r="L10" s="53">
        <v>71</v>
      </c>
      <c r="M10" s="80">
        <v>10447947</v>
      </c>
      <c r="N10" s="42" t="s">
        <v>463</v>
      </c>
      <c r="O10" s="82">
        <v>71</v>
      </c>
      <c r="P10" s="82" t="s">
        <v>69</v>
      </c>
      <c r="Q10" s="82">
        <v>71</v>
      </c>
      <c r="R10" s="84">
        <f t="shared" ref="R10:R44" si="0">ROUND(Q10 - ABS(J10), 2)</f>
        <v>0</v>
      </c>
    </row>
    <row r="11" spans="1:18" x14ac:dyDescent="0.35">
      <c r="A11" s="41">
        <v>10673993</v>
      </c>
      <c r="B11" s="43" t="s">
        <v>156</v>
      </c>
      <c r="C11" s="11">
        <v>80</v>
      </c>
      <c r="D11" s="11" t="s">
        <v>69</v>
      </c>
      <c r="E11" s="3"/>
      <c r="F11" s="18">
        <v>10673993</v>
      </c>
      <c r="G11" s="9" t="s">
        <v>315</v>
      </c>
      <c r="H11" s="10">
        <v>80</v>
      </c>
      <c r="I11" s="10" t="s">
        <v>69</v>
      </c>
      <c r="J11" s="76">
        <v>80</v>
      </c>
      <c r="K11" s="2" t="s">
        <v>398</v>
      </c>
      <c r="L11" s="53">
        <v>80</v>
      </c>
      <c r="M11" s="80">
        <v>10673993</v>
      </c>
      <c r="N11" s="42" t="s">
        <v>446</v>
      </c>
      <c r="O11" s="82">
        <v>80</v>
      </c>
      <c r="P11" s="82" t="s">
        <v>69</v>
      </c>
      <c r="Q11" s="82">
        <v>80</v>
      </c>
      <c r="R11" s="84">
        <f t="shared" si="0"/>
        <v>0</v>
      </c>
    </row>
    <row r="12" spans="1:18" x14ac:dyDescent="0.35">
      <c r="A12" s="41">
        <v>10878428</v>
      </c>
      <c r="B12" s="42" t="s">
        <v>157</v>
      </c>
      <c r="C12" s="11">
        <v>65</v>
      </c>
      <c r="D12" s="11" t="s">
        <v>69</v>
      </c>
      <c r="E12" s="3"/>
      <c r="F12" s="18">
        <v>10878428</v>
      </c>
      <c r="G12" s="9" t="s">
        <v>316</v>
      </c>
      <c r="H12" s="10">
        <v>65</v>
      </c>
      <c r="I12" s="10" t="s">
        <v>69</v>
      </c>
      <c r="J12" s="76">
        <v>65</v>
      </c>
      <c r="K12" s="2" t="s">
        <v>398</v>
      </c>
      <c r="L12" s="53">
        <v>65</v>
      </c>
      <c r="M12" s="80">
        <v>10878428</v>
      </c>
      <c r="N12" s="42" t="s">
        <v>447</v>
      </c>
      <c r="O12" s="82">
        <v>65</v>
      </c>
      <c r="P12" s="82" t="s">
        <v>69</v>
      </c>
      <c r="Q12" s="82">
        <v>65</v>
      </c>
      <c r="R12" s="84">
        <f t="shared" si="0"/>
        <v>0</v>
      </c>
    </row>
    <row r="13" spans="1:18" x14ac:dyDescent="0.35">
      <c r="A13" s="41">
        <v>10447844</v>
      </c>
      <c r="B13" s="42" t="s">
        <v>158</v>
      </c>
      <c r="C13" s="11">
        <v>74</v>
      </c>
      <c r="D13" s="11" t="s">
        <v>69</v>
      </c>
      <c r="E13" s="3"/>
      <c r="F13" s="18">
        <v>10447844</v>
      </c>
      <c r="G13" s="9" t="s">
        <v>317</v>
      </c>
      <c r="H13" s="10">
        <v>74</v>
      </c>
      <c r="I13" s="10" t="s">
        <v>69</v>
      </c>
      <c r="J13" s="76">
        <v>74</v>
      </c>
      <c r="K13" s="2" t="s">
        <v>398</v>
      </c>
      <c r="L13" s="53">
        <v>74</v>
      </c>
      <c r="M13" s="80">
        <v>10447844</v>
      </c>
      <c r="N13" s="42" t="s">
        <v>448</v>
      </c>
      <c r="O13" s="82">
        <v>74</v>
      </c>
      <c r="P13" s="82" t="s">
        <v>69</v>
      </c>
      <c r="Q13" s="82">
        <v>74</v>
      </c>
      <c r="R13" s="84">
        <f t="shared" si="0"/>
        <v>0</v>
      </c>
    </row>
    <row r="14" spans="1:18" x14ac:dyDescent="0.35">
      <c r="A14" s="41">
        <v>10878440</v>
      </c>
      <c r="B14" s="42" t="s">
        <v>159</v>
      </c>
      <c r="C14" s="11">
        <v>66</v>
      </c>
      <c r="D14" s="11" t="s">
        <v>69</v>
      </c>
      <c r="E14" s="3"/>
      <c r="F14" s="18">
        <v>10878440</v>
      </c>
      <c r="G14" s="9" t="s">
        <v>318</v>
      </c>
      <c r="H14" s="10">
        <v>66</v>
      </c>
      <c r="I14" s="10" t="s">
        <v>69</v>
      </c>
      <c r="J14" s="76">
        <v>66</v>
      </c>
      <c r="K14" s="2" t="s">
        <v>398</v>
      </c>
      <c r="L14" s="53">
        <v>66</v>
      </c>
      <c r="M14" s="80">
        <v>10878440</v>
      </c>
      <c r="N14" s="42" t="s">
        <v>449</v>
      </c>
      <c r="O14" s="82">
        <v>66</v>
      </c>
      <c r="P14" s="82" t="s">
        <v>69</v>
      </c>
      <c r="Q14" s="82">
        <v>66</v>
      </c>
      <c r="R14" s="84">
        <f t="shared" si="0"/>
        <v>0</v>
      </c>
    </row>
    <row r="15" spans="1:18" x14ac:dyDescent="0.35">
      <c r="A15" s="41">
        <v>10674015</v>
      </c>
      <c r="B15" s="42" t="s">
        <v>160</v>
      </c>
      <c r="C15" s="11">
        <v>76</v>
      </c>
      <c r="D15" s="11" t="s">
        <v>69</v>
      </c>
      <c r="E15" s="3"/>
      <c r="F15" s="18">
        <v>10674015</v>
      </c>
      <c r="G15" s="9" t="s">
        <v>319</v>
      </c>
      <c r="H15" s="10">
        <v>76</v>
      </c>
      <c r="I15" s="10" t="s">
        <v>69</v>
      </c>
      <c r="J15" s="76">
        <v>76</v>
      </c>
      <c r="K15" s="2" t="s">
        <v>398</v>
      </c>
      <c r="L15" s="53">
        <v>76</v>
      </c>
      <c r="M15" s="80">
        <v>10674015</v>
      </c>
      <c r="N15" s="42" t="s">
        <v>450</v>
      </c>
      <c r="O15" s="82">
        <v>76</v>
      </c>
      <c r="P15" s="82" t="s">
        <v>69</v>
      </c>
      <c r="Q15" s="82">
        <v>76</v>
      </c>
      <c r="R15" s="84">
        <f t="shared" si="0"/>
        <v>0</v>
      </c>
    </row>
    <row r="16" spans="1:18" x14ac:dyDescent="0.35">
      <c r="A16" s="41">
        <v>10447855</v>
      </c>
      <c r="B16" s="42" t="s">
        <v>161</v>
      </c>
      <c r="C16" s="11">
        <v>80</v>
      </c>
      <c r="D16" s="11" t="s">
        <v>69</v>
      </c>
      <c r="E16" s="3"/>
      <c r="F16" s="18">
        <v>10447855</v>
      </c>
      <c r="G16" s="9" t="s">
        <v>320</v>
      </c>
      <c r="H16" s="10">
        <v>80</v>
      </c>
      <c r="I16" s="10" t="s">
        <v>69</v>
      </c>
      <c r="J16" s="76">
        <v>80</v>
      </c>
      <c r="K16" s="2" t="s">
        <v>398</v>
      </c>
      <c r="L16" s="53">
        <v>80</v>
      </c>
      <c r="M16" s="80">
        <v>10447855</v>
      </c>
      <c r="N16" s="42" t="s">
        <v>465</v>
      </c>
      <c r="O16" s="82">
        <v>80</v>
      </c>
      <c r="P16" s="82" t="s">
        <v>69</v>
      </c>
      <c r="Q16" s="82">
        <v>80</v>
      </c>
      <c r="R16" s="84">
        <f t="shared" si="0"/>
        <v>0</v>
      </c>
    </row>
    <row r="17" spans="1:18" x14ac:dyDescent="0.35">
      <c r="A17" s="41">
        <v>9856275</v>
      </c>
      <c r="B17" s="42" t="s">
        <v>162</v>
      </c>
      <c r="C17" s="11">
        <v>54</v>
      </c>
      <c r="D17" s="11" t="s">
        <v>69</v>
      </c>
      <c r="E17" s="3"/>
      <c r="F17" s="18">
        <v>9856275</v>
      </c>
      <c r="G17" s="9" t="s">
        <v>321</v>
      </c>
      <c r="H17" s="10">
        <v>54</v>
      </c>
      <c r="I17" s="10" t="s">
        <v>69</v>
      </c>
      <c r="J17" s="76">
        <v>54</v>
      </c>
      <c r="K17" s="2" t="s">
        <v>398</v>
      </c>
      <c r="L17" s="53">
        <v>54</v>
      </c>
      <c r="M17" s="80">
        <v>9856275</v>
      </c>
      <c r="N17" s="42" t="s">
        <v>445</v>
      </c>
      <c r="O17" s="82">
        <v>54</v>
      </c>
      <c r="P17" s="82" t="s">
        <v>69</v>
      </c>
      <c r="Q17" s="82">
        <v>54</v>
      </c>
      <c r="R17" s="84">
        <f t="shared" si="0"/>
        <v>0</v>
      </c>
    </row>
    <row r="18" spans="1:18" x14ac:dyDescent="0.35">
      <c r="A18" s="41">
        <v>10674299</v>
      </c>
      <c r="B18" s="42" t="s">
        <v>163</v>
      </c>
      <c r="C18" s="11">
        <v>55</v>
      </c>
      <c r="D18" s="11" t="s">
        <v>69</v>
      </c>
      <c r="E18" s="3"/>
      <c r="F18" s="18">
        <v>10674299</v>
      </c>
      <c r="G18" s="9" t="s">
        <v>322</v>
      </c>
      <c r="H18" s="10">
        <v>55</v>
      </c>
      <c r="I18" s="10" t="s">
        <v>69</v>
      </c>
      <c r="J18" s="76">
        <v>55</v>
      </c>
      <c r="K18" s="2" t="s">
        <v>398</v>
      </c>
      <c r="L18" s="53">
        <v>55</v>
      </c>
      <c r="M18" s="80">
        <v>10674299</v>
      </c>
      <c r="N18" s="42" t="s">
        <v>467</v>
      </c>
      <c r="O18" s="82">
        <v>55</v>
      </c>
      <c r="P18" s="82" t="s">
        <v>69</v>
      </c>
      <c r="Q18" s="82">
        <v>55</v>
      </c>
      <c r="R18" s="84">
        <f t="shared" si="0"/>
        <v>0</v>
      </c>
    </row>
    <row r="19" spans="1:18" x14ac:dyDescent="0.35">
      <c r="A19" s="41">
        <v>10674222</v>
      </c>
      <c r="B19" s="42" t="s">
        <v>164</v>
      </c>
      <c r="C19" s="11">
        <v>44</v>
      </c>
      <c r="D19" s="11" t="s">
        <v>69</v>
      </c>
      <c r="E19" s="3"/>
      <c r="F19" s="18">
        <v>10674222</v>
      </c>
      <c r="G19" s="9" t="s">
        <v>323</v>
      </c>
      <c r="H19" s="10">
        <v>44</v>
      </c>
      <c r="I19" s="10" t="s">
        <v>69</v>
      </c>
      <c r="J19" s="76">
        <v>44</v>
      </c>
      <c r="K19" s="2" t="s">
        <v>398</v>
      </c>
      <c r="L19" s="53">
        <v>44</v>
      </c>
      <c r="M19" s="80">
        <v>10674222</v>
      </c>
      <c r="N19" s="42" t="s">
        <v>462</v>
      </c>
      <c r="O19" s="82">
        <v>44</v>
      </c>
      <c r="P19" s="82" t="s">
        <v>69</v>
      </c>
      <c r="Q19" s="82">
        <v>44</v>
      </c>
      <c r="R19" s="84">
        <f t="shared" si="0"/>
        <v>0</v>
      </c>
    </row>
    <row r="20" spans="1:18" x14ac:dyDescent="0.35">
      <c r="A20" s="41">
        <v>10447833</v>
      </c>
      <c r="B20" s="42" t="s">
        <v>165</v>
      </c>
      <c r="C20" s="11">
        <v>82</v>
      </c>
      <c r="D20" s="11" t="s">
        <v>69</v>
      </c>
      <c r="E20" s="3"/>
      <c r="F20" s="18">
        <v>10447833</v>
      </c>
      <c r="G20" s="9" t="s">
        <v>324</v>
      </c>
      <c r="H20" s="10">
        <v>82</v>
      </c>
      <c r="I20" s="10" t="s">
        <v>69</v>
      </c>
      <c r="J20" s="76">
        <v>82</v>
      </c>
      <c r="K20" s="2" t="s">
        <v>398</v>
      </c>
      <c r="L20" s="53">
        <v>82</v>
      </c>
      <c r="M20" s="80">
        <v>10447833</v>
      </c>
      <c r="N20" s="42" t="s">
        <v>451</v>
      </c>
      <c r="O20" s="82">
        <v>82</v>
      </c>
      <c r="P20" s="82" t="s">
        <v>69</v>
      </c>
      <c r="Q20" s="82">
        <v>82</v>
      </c>
      <c r="R20" s="84">
        <f t="shared" si="0"/>
        <v>0</v>
      </c>
    </row>
    <row r="21" spans="1:18" x14ac:dyDescent="0.35">
      <c r="A21" s="41">
        <v>9546011</v>
      </c>
      <c r="B21" s="42" t="s">
        <v>166</v>
      </c>
      <c r="C21" s="11">
        <v>40</v>
      </c>
      <c r="D21" s="11" t="s">
        <v>69</v>
      </c>
      <c r="E21" s="3"/>
      <c r="F21" s="18">
        <v>9546011</v>
      </c>
      <c r="G21" s="9" t="s">
        <v>325</v>
      </c>
      <c r="H21" s="10">
        <v>40</v>
      </c>
      <c r="I21" s="10" t="s">
        <v>69</v>
      </c>
      <c r="J21" s="76">
        <v>40</v>
      </c>
      <c r="K21" s="2" t="s">
        <v>398</v>
      </c>
      <c r="L21" s="53">
        <v>40</v>
      </c>
      <c r="M21" s="80">
        <v>9546011</v>
      </c>
      <c r="N21" s="42" t="s">
        <v>452</v>
      </c>
      <c r="O21" s="82">
        <v>40</v>
      </c>
      <c r="P21" s="82" t="s">
        <v>69</v>
      </c>
      <c r="Q21" s="82">
        <v>40</v>
      </c>
      <c r="R21" s="84">
        <f t="shared" si="0"/>
        <v>0</v>
      </c>
    </row>
    <row r="22" spans="1:18" x14ac:dyDescent="0.35">
      <c r="A22" s="41">
        <v>10674439</v>
      </c>
      <c r="B22" s="42" t="s">
        <v>167</v>
      </c>
      <c r="C22" s="11" t="s">
        <v>141</v>
      </c>
      <c r="D22" s="11" t="s">
        <v>69</v>
      </c>
      <c r="E22" s="3"/>
      <c r="F22" s="18">
        <v>10674439</v>
      </c>
      <c r="G22" s="9" t="s">
        <v>326</v>
      </c>
      <c r="H22" s="10">
        <v>0</v>
      </c>
      <c r="I22" s="10" t="s">
        <v>69</v>
      </c>
      <c r="J22" s="76">
        <v>0</v>
      </c>
      <c r="K22" s="2" t="s">
        <v>398</v>
      </c>
      <c r="L22" s="53">
        <v>0</v>
      </c>
      <c r="M22" s="80">
        <v>10674439</v>
      </c>
      <c r="N22" s="42" t="s">
        <v>472</v>
      </c>
      <c r="O22" s="82" t="s">
        <v>141</v>
      </c>
      <c r="P22" s="82" t="s">
        <v>69</v>
      </c>
      <c r="Q22" s="82">
        <v>0</v>
      </c>
      <c r="R22" s="84">
        <f t="shared" si="0"/>
        <v>0</v>
      </c>
    </row>
    <row r="23" spans="1:18" x14ac:dyDescent="0.35">
      <c r="A23" s="41">
        <v>10447925</v>
      </c>
      <c r="B23" s="42" t="s">
        <v>168</v>
      </c>
      <c r="C23" s="11">
        <v>72</v>
      </c>
      <c r="D23" s="11" t="s">
        <v>69</v>
      </c>
      <c r="E23" s="3"/>
      <c r="F23" s="18">
        <v>10447925</v>
      </c>
      <c r="G23" s="9" t="s">
        <v>327</v>
      </c>
      <c r="H23" s="10">
        <v>72</v>
      </c>
      <c r="I23" s="10" t="s">
        <v>69</v>
      </c>
      <c r="J23" s="76">
        <v>72</v>
      </c>
      <c r="K23" s="2" t="s">
        <v>398</v>
      </c>
      <c r="L23" s="53">
        <v>72</v>
      </c>
      <c r="M23" s="80">
        <v>10447925</v>
      </c>
      <c r="N23" s="42" t="s">
        <v>444</v>
      </c>
      <c r="O23" s="82">
        <v>72</v>
      </c>
      <c r="P23" s="82" t="s">
        <v>69</v>
      </c>
      <c r="Q23" s="82">
        <v>72</v>
      </c>
      <c r="R23" s="84">
        <f t="shared" si="0"/>
        <v>0</v>
      </c>
    </row>
    <row r="24" spans="1:18" x14ac:dyDescent="0.35">
      <c r="A24" s="41">
        <v>9546022</v>
      </c>
      <c r="B24" s="42" t="s">
        <v>169</v>
      </c>
      <c r="C24" s="11">
        <v>60</v>
      </c>
      <c r="D24" s="11" t="s">
        <v>69</v>
      </c>
      <c r="E24" s="3"/>
      <c r="F24" s="18">
        <v>9546022</v>
      </c>
      <c r="G24" s="9" t="s">
        <v>328</v>
      </c>
      <c r="H24" s="10">
        <v>60</v>
      </c>
      <c r="I24" s="10" t="s">
        <v>69</v>
      </c>
      <c r="J24" s="76">
        <v>60</v>
      </c>
      <c r="K24" s="2" t="s">
        <v>398</v>
      </c>
      <c r="L24" s="53">
        <v>60</v>
      </c>
      <c r="M24" s="80">
        <v>9546022</v>
      </c>
      <c r="N24" s="42" t="s">
        <v>453</v>
      </c>
      <c r="O24" s="82">
        <v>60</v>
      </c>
      <c r="P24" s="82" t="s">
        <v>69</v>
      </c>
      <c r="Q24" s="82">
        <v>60</v>
      </c>
      <c r="R24" s="84">
        <f t="shared" si="0"/>
        <v>0</v>
      </c>
    </row>
    <row r="25" spans="1:18" x14ac:dyDescent="0.35">
      <c r="A25" s="41">
        <v>10447914</v>
      </c>
      <c r="B25" s="42" t="s">
        <v>170</v>
      </c>
      <c r="C25" s="11">
        <v>82</v>
      </c>
      <c r="D25" s="11" t="s">
        <v>69</v>
      </c>
      <c r="E25" s="3"/>
      <c r="F25" s="18">
        <v>10447914</v>
      </c>
      <c r="G25" s="9" t="s">
        <v>329</v>
      </c>
      <c r="H25" s="10">
        <v>82</v>
      </c>
      <c r="I25" s="10" t="s">
        <v>69</v>
      </c>
      <c r="J25" s="76">
        <v>82</v>
      </c>
      <c r="K25" s="2" t="s">
        <v>398</v>
      </c>
      <c r="L25" s="53">
        <v>82</v>
      </c>
      <c r="M25" s="80">
        <v>10447914</v>
      </c>
      <c r="N25" s="42" t="s">
        <v>455</v>
      </c>
      <c r="O25" s="82">
        <v>82</v>
      </c>
      <c r="P25" s="82" t="s">
        <v>69</v>
      </c>
      <c r="Q25" s="82">
        <v>82</v>
      </c>
      <c r="R25" s="84">
        <f t="shared" si="0"/>
        <v>0</v>
      </c>
    </row>
    <row r="26" spans="1:18" x14ac:dyDescent="0.35">
      <c r="A26" s="41">
        <v>10448380</v>
      </c>
      <c r="B26" s="42" t="s">
        <v>171</v>
      </c>
      <c r="C26" s="11">
        <v>65</v>
      </c>
      <c r="D26" s="11" t="s">
        <v>69</v>
      </c>
      <c r="E26" s="3"/>
      <c r="F26" s="18">
        <v>10448380</v>
      </c>
      <c r="G26" s="9" t="s">
        <v>330</v>
      </c>
      <c r="H26" s="10">
        <v>65</v>
      </c>
      <c r="I26" s="10" t="s">
        <v>69</v>
      </c>
      <c r="J26" s="76">
        <v>65</v>
      </c>
      <c r="K26" s="2" t="s">
        <v>398</v>
      </c>
      <c r="L26" s="53">
        <v>65</v>
      </c>
      <c r="M26" s="80">
        <v>10448380</v>
      </c>
      <c r="N26" s="42" t="s">
        <v>456</v>
      </c>
      <c r="O26" s="82">
        <v>65</v>
      </c>
      <c r="P26" s="82" t="s">
        <v>69</v>
      </c>
      <c r="Q26" s="82">
        <v>65</v>
      </c>
      <c r="R26" s="84">
        <f t="shared" si="0"/>
        <v>0</v>
      </c>
    </row>
    <row r="27" spans="1:18" x14ac:dyDescent="0.35">
      <c r="A27" s="41">
        <v>10878783</v>
      </c>
      <c r="B27" s="42" t="s">
        <v>172</v>
      </c>
      <c r="C27" s="11">
        <v>45</v>
      </c>
      <c r="D27" s="11" t="s">
        <v>69</v>
      </c>
      <c r="E27" s="3"/>
      <c r="F27" s="18">
        <v>10878783</v>
      </c>
      <c r="G27" s="9" t="s">
        <v>331</v>
      </c>
      <c r="H27" s="10">
        <v>45</v>
      </c>
      <c r="I27" s="10" t="s">
        <v>69</v>
      </c>
      <c r="J27" s="76">
        <v>45</v>
      </c>
      <c r="K27" s="2" t="s">
        <v>398</v>
      </c>
      <c r="L27" s="53">
        <v>45</v>
      </c>
      <c r="M27" s="80">
        <v>10878783</v>
      </c>
      <c r="N27" s="42" t="s">
        <v>458</v>
      </c>
      <c r="O27" s="82">
        <v>45</v>
      </c>
      <c r="P27" s="82" t="s">
        <v>69</v>
      </c>
      <c r="Q27" s="82">
        <v>45</v>
      </c>
      <c r="R27" s="84">
        <f t="shared" si="0"/>
        <v>0</v>
      </c>
    </row>
    <row r="28" spans="1:18" x14ac:dyDescent="0.35">
      <c r="A28" s="41">
        <v>10674163</v>
      </c>
      <c r="B28" s="42" t="s">
        <v>173</v>
      </c>
      <c r="C28" s="11">
        <v>85</v>
      </c>
      <c r="D28" s="11" t="s">
        <v>69</v>
      </c>
      <c r="E28" s="3"/>
      <c r="F28" s="18">
        <v>10674163</v>
      </c>
      <c r="G28" s="9" t="s">
        <v>332</v>
      </c>
      <c r="H28" s="10">
        <v>85</v>
      </c>
      <c r="I28" s="10" t="s">
        <v>69</v>
      </c>
      <c r="J28" s="76">
        <v>85</v>
      </c>
      <c r="K28" s="2" t="s">
        <v>398</v>
      </c>
      <c r="L28" s="53">
        <v>85</v>
      </c>
      <c r="M28" s="80">
        <v>10674163</v>
      </c>
      <c r="N28" s="42" t="s">
        <v>459</v>
      </c>
      <c r="O28" s="82">
        <v>85</v>
      </c>
      <c r="P28" s="82" t="s">
        <v>69</v>
      </c>
      <c r="Q28" s="82">
        <v>85</v>
      </c>
      <c r="R28" s="84">
        <f t="shared" si="0"/>
        <v>0</v>
      </c>
    </row>
    <row r="29" spans="1:18" x14ac:dyDescent="0.35">
      <c r="A29" s="41">
        <v>10674174</v>
      </c>
      <c r="B29" s="42" t="s">
        <v>174</v>
      </c>
      <c r="C29" s="11">
        <v>85</v>
      </c>
      <c r="D29" s="11" t="s">
        <v>69</v>
      </c>
      <c r="E29" s="3"/>
      <c r="F29" s="18">
        <v>10674174</v>
      </c>
      <c r="G29" s="9" t="s">
        <v>333</v>
      </c>
      <c r="H29" s="10">
        <v>85</v>
      </c>
      <c r="I29" s="10" t="s">
        <v>69</v>
      </c>
      <c r="J29" s="76">
        <v>85</v>
      </c>
      <c r="K29" s="2" t="s">
        <v>398</v>
      </c>
      <c r="L29" s="53">
        <v>85</v>
      </c>
      <c r="M29" s="80">
        <v>10674174</v>
      </c>
      <c r="N29" s="42" t="s">
        <v>460</v>
      </c>
      <c r="O29" s="82">
        <v>85</v>
      </c>
      <c r="P29" s="82" t="s">
        <v>69</v>
      </c>
      <c r="Q29" s="82">
        <v>85</v>
      </c>
      <c r="R29" s="84">
        <f t="shared" si="0"/>
        <v>0</v>
      </c>
    </row>
    <row r="30" spans="1:18" x14ac:dyDescent="0.35">
      <c r="A30" s="41">
        <v>10448014</v>
      </c>
      <c r="B30" s="42" t="s">
        <v>175</v>
      </c>
      <c r="C30" s="11">
        <v>62</v>
      </c>
      <c r="D30" s="11" t="s">
        <v>69</v>
      </c>
      <c r="E30" s="3"/>
      <c r="F30" s="18">
        <v>10448014</v>
      </c>
      <c r="G30" s="9" t="s">
        <v>334</v>
      </c>
      <c r="H30" s="10">
        <v>62</v>
      </c>
      <c r="I30" s="10" t="s">
        <v>69</v>
      </c>
      <c r="J30" s="76">
        <v>62</v>
      </c>
      <c r="K30" s="2" t="s">
        <v>398</v>
      </c>
      <c r="L30" s="53">
        <v>62</v>
      </c>
      <c r="M30" s="80">
        <v>10448014</v>
      </c>
      <c r="N30" s="42" t="s">
        <v>461</v>
      </c>
      <c r="O30" s="82">
        <v>62</v>
      </c>
      <c r="P30" s="82" t="s">
        <v>69</v>
      </c>
      <c r="Q30" s="82">
        <v>62</v>
      </c>
      <c r="R30" s="84">
        <f t="shared" si="0"/>
        <v>0</v>
      </c>
    </row>
    <row r="31" spans="1:18" x14ac:dyDescent="0.35">
      <c r="A31" s="41">
        <v>10878808</v>
      </c>
      <c r="B31" s="42" t="s">
        <v>143</v>
      </c>
      <c r="C31" s="11">
        <v>16</v>
      </c>
      <c r="D31" s="11" t="s">
        <v>69</v>
      </c>
      <c r="E31" s="3"/>
      <c r="F31" s="18">
        <v>10878808</v>
      </c>
      <c r="G31" s="9" t="s">
        <v>300</v>
      </c>
      <c r="H31" s="10">
        <v>16</v>
      </c>
      <c r="I31" s="10" t="s">
        <v>69</v>
      </c>
      <c r="J31" s="76">
        <v>16</v>
      </c>
      <c r="K31" s="2" t="s">
        <v>398</v>
      </c>
      <c r="L31" s="53">
        <v>16</v>
      </c>
      <c r="M31" s="80">
        <v>10878808</v>
      </c>
      <c r="N31" s="42" t="s">
        <v>406</v>
      </c>
      <c r="O31" s="82">
        <v>16</v>
      </c>
      <c r="P31" s="82" t="s">
        <v>69</v>
      </c>
      <c r="Q31" s="82">
        <v>16</v>
      </c>
      <c r="R31" s="84">
        <f t="shared" si="0"/>
        <v>0</v>
      </c>
    </row>
    <row r="32" spans="1:18" x14ac:dyDescent="0.35">
      <c r="A32" s="41">
        <v>10447970</v>
      </c>
      <c r="B32" s="42" t="s">
        <v>176</v>
      </c>
      <c r="C32" s="11">
        <v>25</v>
      </c>
      <c r="D32" s="11" t="s">
        <v>69</v>
      </c>
      <c r="E32" s="3"/>
      <c r="F32" s="18">
        <v>10447970</v>
      </c>
      <c r="G32" s="9" t="s">
        <v>335</v>
      </c>
      <c r="H32" s="10">
        <v>25</v>
      </c>
      <c r="I32" s="10" t="s">
        <v>69</v>
      </c>
      <c r="J32" s="76">
        <v>25</v>
      </c>
      <c r="K32" s="2" t="s">
        <v>398</v>
      </c>
      <c r="L32" s="53">
        <v>25</v>
      </c>
      <c r="M32" s="80">
        <v>10447970</v>
      </c>
      <c r="N32" s="42" t="s">
        <v>464</v>
      </c>
      <c r="O32" s="82">
        <v>25</v>
      </c>
      <c r="P32" s="82" t="s">
        <v>69</v>
      </c>
      <c r="Q32" s="82">
        <v>25</v>
      </c>
      <c r="R32" s="84">
        <f t="shared" si="0"/>
        <v>0</v>
      </c>
    </row>
    <row r="33" spans="1:18" x14ac:dyDescent="0.35">
      <c r="A33" s="41">
        <v>10674233</v>
      </c>
      <c r="B33" s="42" t="s">
        <v>177</v>
      </c>
      <c r="C33" s="11">
        <v>72</v>
      </c>
      <c r="D33" s="11" t="s">
        <v>69</v>
      </c>
      <c r="E33" s="3"/>
      <c r="F33" s="18">
        <v>10674233</v>
      </c>
      <c r="G33" s="9" t="s">
        <v>336</v>
      </c>
      <c r="H33" s="10">
        <v>72</v>
      </c>
      <c r="I33" s="10" t="s">
        <v>69</v>
      </c>
      <c r="J33" s="76">
        <v>72</v>
      </c>
      <c r="K33" s="2" t="s">
        <v>398</v>
      </c>
      <c r="L33" s="53">
        <v>72</v>
      </c>
      <c r="M33" s="80">
        <v>10674233</v>
      </c>
      <c r="N33" s="42" t="s">
        <v>466</v>
      </c>
      <c r="O33" s="82">
        <v>72</v>
      </c>
      <c r="P33" s="82" t="s">
        <v>69</v>
      </c>
      <c r="Q33" s="82">
        <v>72</v>
      </c>
      <c r="R33" s="84">
        <f t="shared" si="0"/>
        <v>0</v>
      </c>
    </row>
    <row r="34" spans="1:18" x14ac:dyDescent="0.35">
      <c r="A34" s="41">
        <v>9658406</v>
      </c>
      <c r="B34" s="42" t="s">
        <v>120</v>
      </c>
      <c r="C34" s="11">
        <v>48</v>
      </c>
      <c r="D34" s="11" t="s">
        <v>69</v>
      </c>
      <c r="E34" s="3"/>
      <c r="F34" s="18">
        <v>9658406</v>
      </c>
      <c r="G34" s="9" t="s">
        <v>281</v>
      </c>
      <c r="H34" s="10">
        <v>48</v>
      </c>
      <c r="I34" s="10" t="s">
        <v>69</v>
      </c>
      <c r="J34" s="76">
        <v>48</v>
      </c>
      <c r="K34" s="2" t="s">
        <v>398</v>
      </c>
      <c r="L34" s="53">
        <v>48</v>
      </c>
      <c r="M34" s="80">
        <v>9658406</v>
      </c>
      <c r="N34" s="42" t="s">
        <v>420</v>
      </c>
      <c r="O34" s="82">
        <v>48</v>
      </c>
      <c r="P34" s="82" t="s">
        <v>69</v>
      </c>
      <c r="Q34" s="82">
        <v>48</v>
      </c>
      <c r="R34" s="84">
        <f t="shared" si="0"/>
        <v>0</v>
      </c>
    </row>
    <row r="35" spans="1:18" x14ac:dyDescent="0.35">
      <c r="A35" s="41">
        <v>10878819</v>
      </c>
      <c r="B35" s="42" t="s">
        <v>178</v>
      </c>
      <c r="C35" s="11">
        <v>64</v>
      </c>
      <c r="D35" s="11" t="s">
        <v>69</v>
      </c>
      <c r="E35" s="3"/>
      <c r="F35" s="18">
        <v>10878819</v>
      </c>
      <c r="G35" s="9" t="s">
        <v>337</v>
      </c>
      <c r="H35" s="10">
        <v>64</v>
      </c>
      <c r="I35" s="10" t="s">
        <v>69</v>
      </c>
      <c r="J35" s="76">
        <v>64</v>
      </c>
      <c r="K35" s="2" t="s">
        <v>398</v>
      </c>
      <c r="L35" s="53">
        <v>64</v>
      </c>
      <c r="M35" s="80">
        <v>10878819</v>
      </c>
      <c r="N35" s="42" t="s">
        <v>454</v>
      </c>
      <c r="O35" s="82">
        <v>64</v>
      </c>
      <c r="P35" s="82" t="s">
        <v>69</v>
      </c>
      <c r="Q35" s="82">
        <v>64</v>
      </c>
      <c r="R35" s="84">
        <f t="shared" si="0"/>
        <v>0</v>
      </c>
    </row>
    <row r="36" spans="1:18" x14ac:dyDescent="0.35">
      <c r="A36" s="41">
        <v>10878912</v>
      </c>
      <c r="B36" s="42" t="s">
        <v>179</v>
      </c>
      <c r="C36" s="11">
        <v>86</v>
      </c>
      <c r="D36" s="11" t="s">
        <v>69</v>
      </c>
      <c r="E36" s="3"/>
      <c r="F36" s="18">
        <v>10878912</v>
      </c>
      <c r="G36" s="9" t="s">
        <v>338</v>
      </c>
      <c r="H36" s="10">
        <v>86</v>
      </c>
      <c r="I36" s="10" t="s">
        <v>69</v>
      </c>
      <c r="J36" s="76">
        <v>86</v>
      </c>
      <c r="K36" s="2" t="s">
        <v>398</v>
      </c>
      <c r="L36" s="53">
        <v>86</v>
      </c>
      <c r="M36" s="80">
        <v>10878912</v>
      </c>
      <c r="N36" s="42" t="s">
        <v>468</v>
      </c>
      <c r="O36" s="82">
        <v>86</v>
      </c>
      <c r="P36" s="82" t="s">
        <v>69</v>
      </c>
      <c r="Q36" s="82">
        <v>86</v>
      </c>
      <c r="R36" s="84">
        <f t="shared" si="0"/>
        <v>0</v>
      </c>
    </row>
    <row r="37" spans="1:18" x14ac:dyDescent="0.35">
      <c r="A37" s="41">
        <v>9658417</v>
      </c>
      <c r="B37" s="42" t="s">
        <v>180</v>
      </c>
      <c r="C37" s="11">
        <v>80</v>
      </c>
      <c r="D37" s="11" t="s">
        <v>69</v>
      </c>
      <c r="E37" s="3"/>
      <c r="F37" s="18">
        <v>9658417</v>
      </c>
      <c r="G37" s="9" t="s">
        <v>339</v>
      </c>
      <c r="H37" s="10">
        <v>80</v>
      </c>
      <c r="I37" s="10" t="s">
        <v>69</v>
      </c>
      <c r="J37" s="76">
        <v>80</v>
      </c>
      <c r="K37" s="2" t="s">
        <v>398</v>
      </c>
      <c r="L37" s="53">
        <v>80</v>
      </c>
      <c r="M37" s="80">
        <v>9658417</v>
      </c>
      <c r="N37" s="42" t="s">
        <v>469</v>
      </c>
      <c r="O37" s="82">
        <v>80</v>
      </c>
      <c r="P37" s="82" t="s">
        <v>69</v>
      </c>
      <c r="Q37" s="82">
        <v>80</v>
      </c>
      <c r="R37" s="84">
        <f t="shared" si="0"/>
        <v>0</v>
      </c>
    </row>
    <row r="38" spans="1:18" x14ac:dyDescent="0.35">
      <c r="A38" s="41">
        <v>10447877</v>
      </c>
      <c r="B38" s="42" t="s">
        <v>181</v>
      </c>
      <c r="C38" s="11">
        <v>65</v>
      </c>
      <c r="D38" s="11" t="s">
        <v>69</v>
      </c>
      <c r="E38" s="3"/>
      <c r="F38" s="18">
        <v>10447877</v>
      </c>
      <c r="G38" s="9" t="s">
        <v>340</v>
      </c>
      <c r="H38" s="10">
        <v>65</v>
      </c>
      <c r="I38" s="10" t="s">
        <v>69</v>
      </c>
      <c r="J38" s="76">
        <v>65</v>
      </c>
      <c r="K38" s="2" t="s">
        <v>398</v>
      </c>
      <c r="L38" s="53">
        <v>65</v>
      </c>
      <c r="M38" s="80">
        <v>10447877</v>
      </c>
      <c r="N38" s="42" t="s">
        <v>470</v>
      </c>
      <c r="O38" s="82">
        <v>65</v>
      </c>
      <c r="P38" s="82" t="s">
        <v>69</v>
      </c>
      <c r="Q38" s="82">
        <v>65</v>
      </c>
      <c r="R38" s="84">
        <f t="shared" si="0"/>
        <v>0</v>
      </c>
    </row>
    <row r="39" spans="1:18" x14ac:dyDescent="0.35">
      <c r="A39" s="41">
        <v>10447903</v>
      </c>
      <c r="B39" s="42" t="s">
        <v>182</v>
      </c>
      <c r="C39" s="11">
        <v>40</v>
      </c>
      <c r="D39" s="11" t="s">
        <v>69</v>
      </c>
      <c r="E39" s="3"/>
      <c r="F39" s="18">
        <v>10447903</v>
      </c>
      <c r="G39" s="9" t="s">
        <v>341</v>
      </c>
      <c r="H39" s="10">
        <v>40</v>
      </c>
      <c r="I39" s="10" t="s">
        <v>69</v>
      </c>
      <c r="J39" s="76">
        <v>40</v>
      </c>
      <c r="K39" s="2" t="s">
        <v>398</v>
      </c>
      <c r="L39" s="53">
        <v>40</v>
      </c>
      <c r="M39" s="80">
        <v>10447903</v>
      </c>
      <c r="N39" s="42" t="s">
        <v>471</v>
      </c>
      <c r="O39" s="82">
        <v>40</v>
      </c>
      <c r="P39" s="82" t="s">
        <v>69</v>
      </c>
      <c r="Q39" s="82">
        <v>40</v>
      </c>
      <c r="R39" s="84">
        <f t="shared" si="0"/>
        <v>0</v>
      </c>
    </row>
    <row r="40" spans="1:18" x14ac:dyDescent="0.35">
      <c r="A40" s="41">
        <v>10878820</v>
      </c>
      <c r="B40" s="42" t="s">
        <v>183</v>
      </c>
      <c r="C40" s="11">
        <v>70</v>
      </c>
      <c r="D40" s="11" t="s">
        <v>69</v>
      </c>
      <c r="E40" s="3"/>
      <c r="F40" s="18">
        <v>10878820</v>
      </c>
      <c r="G40" s="9" t="s">
        <v>342</v>
      </c>
      <c r="H40" s="10">
        <v>70</v>
      </c>
      <c r="I40" s="10" t="s">
        <v>69</v>
      </c>
      <c r="J40" s="76">
        <v>70</v>
      </c>
      <c r="K40" s="2" t="s">
        <v>398</v>
      </c>
      <c r="L40" s="53">
        <v>70</v>
      </c>
      <c r="M40" s="80">
        <v>10878820</v>
      </c>
      <c r="N40" s="42" t="s">
        <v>457</v>
      </c>
      <c r="O40" s="82">
        <v>70</v>
      </c>
      <c r="P40" s="82" t="s">
        <v>69</v>
      </c>
      <c r="Q40" s="82">
        <v>70</v>
      </c>
      <c r="R40" s="84">
        <f t="shared" si="0"/>
        <v>0</v>
      </c>
    </row>
    <row r="41" spans="1:18" x14ac:dyDescent="0.35">
      <c r="A41" s="41">
        <v>10878897</v>
      </c>
      <c r="B41" s="42" t="s">
        <v>184</v>
      </c>
      <c r="C41" s="11">
        <v>50</v>
      </c>
      <c r="D41" s="11" t="s">
        <v>69</v>
      </c>
      <c r="E41" s="3"/>
      <c r="F41" s="18">
        <v>10878897</v>
      </c>
      <c r="G41" s="9" t="s">
        <v>343</v>
      </c>
      <c r="H41" s="10">
        <v>50</v>
      </c>
      <c r="I41" s="10" t="s">
        <v>69</v>
      </c>
      <c r="J41" s="76">
        <v>50</v>
      </c>
      <c r="K41" s="2" t="s">
        <v>398</v>
      </c>
      <c r="L41" s="53">
        <v>50</v>
      </c>
      <c r="M41" s="80">
        <v>10878897</v>
      </c>
      <c r="N41" s="42" t="s">
        <v>473</v>
      </c>
      <c r="O41" s="82">
        <v>50</v>
      </c>
      <c r="P41" s="82" t="s">
        <v>69</v>
      </c>
      <c r="Q41" s="82">
        <v>50</v>
      </c>
      <c r="R41" s="84">
        <f t="shared" si="0"/>
        <v>0</v>
      </c>
    </row>
    <row r="42" spans="1:18" x14ac:dyDescent="0.35">
      <c r="A42" s="41">
        <v>9658439</v>
      </c>
      <c r="B42" s="42" t="s">
        <v>185</v>
      </c>
      <c r="C42" s="11">
        <v>78</v>
      </c>
      <c r="D42" s="11" t="s">
        <v>69</v>
      </c>
      <c r="E42" s="3"/>
      <c r="F42" s="18">
        <v>9658439</v>
      </c>
      <c r="G42" s="9" t="s">
        <v>344</v>
      </c>
      <c r="H42" s="10">
        <v>78</v>
      </c>
      <c r="I42" s="10" t="s">
        <v>69</v>
      </c>
      <c r="J42" s="76">
        <v>78</v>
      </c>
      <c r="K42" s="2" t="s">
        <v>398</v>
      </c>
      <c r="L42" s="53">
        <v>78</v>
      </c>
      <c r="M42" s="80">
        <v>9658439</v>
      </c>
      <c r="N42" s="42" t="s">
        <v>474</v>
      </c>
      <c r="O42" s="82">
        <v>78</v>
      </c>
      <c r="P42" s="82" t="s">
        <v>69</v>
      </c>
      <c r="Q42" s="82">
        <v>78</v>
      </c>
      <c r="R42" s="84">
        <f t="shared" si="0"/>
        <v>0</v>
      </c>
    </row>
    <row r="43" spans="1:18" x14ac:dyDescent="0.35">
      <c r="A43" s="41">
        <v>9546033</v>
      </c>
      <c r="B43" s="42" t="s">
        <v>186</v>
      </c>
      <c r="C43" s="11">
        <v>60</v>
      </c>
      <c r="D43" s="11" t="s">
        <v>69</v>
      </c>
      <c r="E43" s="3"/>
      <c r="F43" s="18">
        <v>9546033</v>
      </c>
      <c r="G43" s="9" t="s">
        <v>345</v>
      </c>
      <c r="H43" s="10">
        <v>60</v>
      </c>
      <c r="I43" s="10" t="s">
        <v>69</v>
      </c>
      <c r="J43" s="76">
        <v>60</v>
      </c>
      <c r="K43" s="2" t="s">
        <v>398</v>
      </c>
      <c r="L43" s="53">
        <v>60</v>
      </c>
      <c r="M43" s="80">
        <v>9546033</v>
      </c>
      <c r="N43" s="42" t="s">
        <v>475</v>
      </c>
      <c r="O43" s="82">
        <v>60</v>
      </c>
      <c r="P43" s="82" t="s">
        <v>69</v>
      </c>
      <c r="Q43" s="82">
        <v>60</v>
      </c>
      <c r="R43" s="84">
        <f t="shared" si="0"/>
        <v>0</v>
      </c>
    </row>
    <row r="44" spans="1:18" x14ac:dyDescent="0.35">
      <c r="A44" s="41">
        <v>9546044</v>
      </c>
      <c r="B44" s="42" t="s">
        <v>187</v>
      </c>
      <c r="C44" s="11">
        <v>46</v>
      </c>
      <c r="D44" s="11" t="s">
        <v>69</v>
      </c>
      <c r="E44" s="3"/>
      <c r="F44" s="18">
        <v>9546044</v>
      </c>
      <c r="G44" s="9" t="s">
        <v>346</v>
      </c>
      <c r="H44" s="10">
        <v>46</v>
      </c>
      <c r="I44" s="10" t="s">
        <v>69</v>
      </c>
      <c r="J44" s="76">
        <v>46</v>
      </c>
      <c r="K44" s="2" t="s">
        <v>398</v>
      </c>
      <c r="L44" s="53">
        <v>46</v>
      </c>
      <c r="M44" s="80">
        <v>9546044</v>
      </c>
      <c r="N44" s="42" t="s">
        <v>476</v>
      </c>
      <c r="O44" s="82">
        <v>46</v>
      </c>
      <c r="P44" s="82" t="s">
        <v>69</v>
      </c>
      <c r="Q44" s="82">
        <v>46</v>
      </c>
      <c r="R44" s="84">
        <f t="shared" si="0"/>
        <v>0</v>
      </c>
    </row>
    <row r="45" spans="1:18" hidden="1" x14ac:dyDescent="0.35">
      <c r="A45" s="41"/>
      <c r="B45" s="42"/>
      <c r="C45" s="11"/>
      <c r="D45" s="11"/>
      <c r="E45" s="3"/>
      <c r="F45" s="18"/>
      <c r="G45" s="9"/>
      <c r="H45" s="10"/>
      <c r="I45" s="10"/>
      <c r="J45" s="76"/>
      <c r="K45" s="2" t="str">
        <f t="shared" ref="K45:K73" si="1">IF(I45="-", IF(J45&lt;$K$6, "Failed!", "pass"), IF(AND(H45&gt;=$J$6, I45&gt;=$J$6, J45&gt;=$K$6), "pass", "Failed!"))</f>
        <v>Failed!</v>
      </c>
      <c r="L45" s="53"/>
      <c r="M45" s="80"/>
      <c r="N45" s="42"/>
      <c r="O45" s="82"/>
      <c r="P45" s="82"/>
      <c r="Q45" s="82"/>
    </row>
    <row r="46" spans="1:18" hidden="1" x14ac:dyDescent="0.35">
      <c r="A46" s="41"/>
      <c r="B46" s="42"/>
      <c r="C46" s="11"/>
      <c r="D46" s="11"/>
      <c r="E46" s="3"/>
      <c r="F46" s="18"/>
      <c r="G46" s="9"/>
      <c r="H46" s="10"/>
      <c r="I46" s="10"/>
      <c r="J46" s="76"/>
      <c r="K46" s="2" t="str">
        <f t="shared" si="1"/>
        <v>Failed!</v>
      </c>
      <c r="L46" s="53"/>
      <c r="M46" s="80"/>
      <c r="N46" s="42"/>
      <c r="O46" s="82"/>
      <c r="P46" s="82"/>
      <c r="Q46" s="82"/>
    </row>
    <row r="47" spans="1:18" hidden="1" x14ac:dyDescent="0.35">
      <c r="A47" s="41"/>
      <c r="B47" s="42"/>
      <c r="C47" s="11"/>
      <c r="D47" s="11"/>
      <c r="E47" s="3"/>
      <c r="F47" s="18"/>
      <c r="G47" s="9"/>
      <c r="H47" s="10"/>
      <c r="I47" s="10"/>
      <c r="J47" s="76"/>
      <c r="K47" s="2" t="str">
        <f t="shared" si="1"/>
        <v>Failed!</v>
      </c>
      <c r="L47" s="53"/>
      <c r="M47" s="80"/>
      <c r="N47" s="42"/>
      <c r="O47" s="82"/>
      <c r="P47" s="82"/>
      <c r="Q47" s="82"/>
    </row>
    <row r="48" spans="1:18"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35</v>
      </c>
      <c r="G90" s="2" t="s">
        <v>14</v>
      </c>
      <c r="H90" s="40">
        <f>MAX(H10:H88)</f>
        <v>86</v>
      </c>
      <c r="I90" s="40">
        <f>MAX(I10:I88)</f>
        <v>0</v>
      </c>
      <c r="J90" s="40">
        <f>MAX(L10:L88)</f>
        <v>86</v>
      </c>
      <c r="M90" s="4"/>
    </row>
    <row r="91" spans="1:17" x14ac:dyDescent="0.35">
      <c r="G91" s="2" t="s">
        <v>12</v>
      </c>
      <c r="H91" s="40">
        <f>AVERAGE(H10:H88)</f>
        <v>61.228571428571428</v>
      </c>
      <c r="I91" s="40" t="e">
        <f>AVERAGE(I10:I88)</f>
        <v>#DIV/0!</v>
      </c>
      <c r="J91" s="40">
        <f>AVERAGE(L10:L88)</f>
        <v>61.228571428571428</v>
      </c>
      <c r="M91" s="4"/>
    </row>
    <row r="92" spans="1:17" x14ac:dyDescent="0.35">
      <c r="G92" s="2" t="s">
        <v>15</v>
      </c>
      <c r="H92" s="40">
        <f>MIN(H10:H88)</f>
        <v>0</v>
      </c>
      <c r="I92" s="40">
        <f>MIN(I10:I88)</f>
        <v>0</v>
      </c>
      <c r="J92" s="40">
        <f>MIN(L10:L88)</f>
        <v>0</v>
      </c>
      <c r="M92" s="4"/>
    </row>
    <row r="93" spans="1:17" x14ac:dyDescent="0.35">
      <c r="G93" s="2" t="s">
        <v>13</v>
      </c>
      <c r="H93" s="40">
        <f>STDEV(H10:H88)</f>
        <v>20.292110484105876</v>
      </c>
      <c r="I93" s="40" t="e">
        <f>STDEV(I10:I88)</f>
        <v>#DIV/0!</v>
      </c>
      <c r="J93" s="40">
        <f>STDEV(L10:L88)</f>
        <v>20.292110484105876</v>
      </c>
      <c r="M93" s="4"/>
    </row>
    <row r="94" spans="1:17" x14ac:dyDescent="0.35">
      <c r="G94" s="2" t="str">
        <f>"Failed count ( &lt; " &amp; K6 &amp; " )"</f>
        <v>Failed count ( &lt; 40 )</v>
      </c>
      <c r="H94" s="50">
        <f>COUNTIF(H10:H88, "&lt;40")</f>
        <v>3</v>
      </c>
      <c r="I94" s="50">
        <f>COUNTIF(I10:I88, "&lt;40")</f>
        <v>0</v>
      </c>
      <c r="J94" s="50">
        <f>COUNTIF(L10:L88, "&lt;40")</f>
        <v>3</v>
      </c>
      <c r="M94" s="4"/>
    </row>
    <row r="95" spans="1:17" x14ac:dyDescent="0.35">
      <c r="G95" s="2" t="s">
        <v>16</v>
      </c>
      <c r="H95" s="49">
        <f>1-H94/$F90</f>
        <v>0.91428571428571426</v>
      </c>
      <c r="I95" s="49">
        <f>1-I94/$F90</f>
        <v>1</v>
      </c>
      <c r="J95" s="49">
        <f>1-J94/$F90</f>
        <v>0.91428571428571426</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41" priority="1" operator="lessThan">
      <formula>$K$6</formula>
    </cfRule>
  </conditionalFormatting>
  <conditionalFormatting sqref="F10:I88">
    <cfRule type="expression" dxfId="40" priority="2" stopIfTrue="1">
      <formula>F10=A10</formula>
    </cfRule>
    <cfRule type="expression" dxfId="39" priority="3" stopIfTrue="1">
      <formula>F10&lt;&gt;A10</formula>
    </cfRule>
  </conditionalFormatting>
  <conditionalFormatting sqref="M10:Q44">
    <cfRule type="expression" dxfId="38" priority="4" stopIfTrue="1">
      <formula>M10=F10</formula>
    </cfRule>
    <cfRule type="expression" dxfId="3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5778"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5779"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R109"/>
  <sheetViews>
    <sheetView zoomScaleNormal="100" workbookViewId="0">
      <pane xSplit="1" ySplit="9" topLeftCell="J10" activePane="bottomRight" state="frozen"/>
      <selection activeCell="E16" sqref="E16"/>
      <selection pane="topRight" activeCell="E16" sqref="E16"/>
      <selection pane="bottomLeft" activeCell="E16" sqref="E16"/>
      <selection pane="bottomRight" activeCell="N15" sqref="N15"/>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30</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188</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189</v>
      </c>
      <c r="C5" s="14"/>
      <c r="D5" s="16"/>
      <c r="F5" s="59" t="s">
        <v>38</v>
      </c>
      <c r="L5" s="52"/>
      <c r="M5" s="47" t="s">
        <v>49</v>
      </c>
    </row>
    <row r="6" spans="1:18" x14ac:dyDescent="0.35">
      <c r="A6" s="20" t="s">
        <v>397</v>
      </c>
      <c r="B6" s="13" t="s">
        <v>68</v>
      </c>
      <c r="C6" s="14"/>
      <c r="D6" s="16"/>
      <c r="F6" s="59" t="s">
        <v>54</v>
      </c>
      <c r="J6" s="70">
        <v>35</v>
      </c>
      <c r="K6" s="70">
        <v>40</v>
      </c>
      <c r="L6" s="52"/>
      <c r="N6" s="51" t="str">
        <f>"int302cem - bcscu.pdf"</f>
        <v>int302cem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c r="B9" s="57"/>
      <c r="C9" s="57"/>
      <c r="D9" s="57"/>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9856345</v>
      </c>
      <c r="B10" s="42" t="s">
        <v>190</v>
      </c>
      <c r="C10" s="11">
        <v>67</v>
      </c>
      <c r="D10" s="11" t="s">
        <v>69</v>
      </c>
      <c r="E10" s="3"/>
      <c r="F10" s="18">
        <v>9856345</v>
      </c>
      <c r="G10" s="9" t="s">
        <v>387</v>
      </c>
      <c r="H10" s="10">
        <v>67</v>
      </c>
      <c r="I10" s="10" t="s">
        <v>69</v>
      </c>
      <c r="J10" s="76">
        <v>67</v>
      </c>
      <c r="K10" s="2" t="s">
        <v>398</v>
      </c>
      <c r="L10" s="53">
        <v>67</v>
      </c>
      <c r="M10" s="80">
        <v>9856345</v>
      </c>
      <c r="N10" s="42" t="s">
        <v>477</v>
      </c>
      <c r="O10" s="82">
        <v>67</v>
      </c>
      <c r="P10" s="82" t="s">
        <v>69</v>
      </c>
      <c r="Q10" s="82">
        <v>67</v>
      </c>
      <c r="R10" s="84">
        <f t="shared" ref="R10:R39" si="0">ROUND(Q10 - ABS(J10), 2)</f>
        <v>0</v>
      </c>
    </row>
    <row r="11" spans="1:18" x14ac:dyDescent="0.35">
      <c r="A11" s="41">
        <v>9856312</v>
      </c>
      <c r="B11" s="43" t="s">
        <v>396</v>
      </c>
      <c r="C11" s="11">
        <v>73</v>
      </c>
      <c r="D11" s="11" t="s">
        <v>69</v>
      </c>
      <c r="E11" s="3"/>
      <c r="F11" s="18">
        <v>9856312</v>
      </c>
      <c r="G11" s="9" t="s">
        <v>388</v>
      </c>
      <c r="H11" s="10">
        <v>73</v>
      </c>
      <c r="I11" s="10" t="s">
        <v>69</v>
      </c>
      <c r="J11" s="76">
        <v>73</v>
      </c>
      <c r="K11" s="2" t="s">
        <v>398</v>
      </c>
      <c r="L11" s="53">
        <v>73</v>
      </c>
      <c r="M11" s="80">
        <v>9856312</v>
      </c>
      <c r="N11" s="42" t="s">
        <v>478</v>
      </c>
      <c r="O11" s="82">
        <v>73</v>
      </c>
      <c r="P11" s="82" t="s">
        <v>69</v>
      </c>
      <c r="Q11" s="82">
        <v>73</v>
      </c>
      <c r="R11" s="84">
        <f t="shared" si="0"/>
        <v>0</v>
      </c>
    </row>
    <row r="12" spans="1:18" x14ac:dyDescent="0.35">
      <c r="A12" s="41">
        <v>9856529</v>
      </c>
      <c r="B12" s="42" t="s">
        <v>191</v>
      </c>
      <c r="C12" s="11">
        <v>74</v>
      </c>
      <c r="D12" s="11" t="s">
        <v>69</v>
      </c>
      <c r="E12" s="3"/>
      <c r="F12" s="18">
        <v>9856529</v>
      </c>
      <c r="G12" s="9" t="s">
        <v>389</v>
      </c>
      <c r="H12" s="10">
        <v>74</v>
      </c>
      <c r="I12" s="10" t="s">
        <v>69</v>
      </c>
      <c r="J12" s="76">
        <v>74</v>
      </c>
      <c r="K12" s="2" t="s">
        <v>398</v>
      </c>
      <c r="L12" s="53">
        <v>74</v>
      </c>
      <c r="M12" s="80">
        <v>9856529</v>
      </c>
      <c r="N12" s="42" t="s">
        <v>479</v>
      </c>
      <c r="O12" s="82">
        <v>74</v>
      </c>
      <c r="P12" s="82" t="s">
        <v>69</v>
      </c>
      <c r="Q12" s="82">
        <v>74</v>
      </c>
      <c r="R12" s="84">
        <f t="shared" si="0"/>
        <v>0</v>
      </c>
    </row>
    <row r="13" spans="1:18" x14ac:dyDescent="0.35">
      <c r="A13" s="41">
        <v>10447844</v>
      </c>
      <c r="B13" s="42" t="s">
        <v>158</v>
      </c>
      <c r="C13" s="11">
        <v>79</v>
      </c>
      <c r="D13" s="11" t="s">
        <v>69</v>
      </c>
      <c r="E13" s="3"/>
      <c r="F13" s="18">
        <v>10447844</v>
      </c>
      <c r="G13" s="9" t="s">
        <v>317</v>
      </c>
      <c r="H13" s="10">
        <v>79</v>
      </c>
      <c r="I13" s="10" t="s">
        <v>69</v>
      </c>
      <c r="J13" s="76">
        <v>79</v>
      </c>
      <c r="K13" s="2" t="s">
        <v>398</v>
      </c>
      <c r="L13" s="53">
        <v>79</v>
      </c>
      <c r="M13" s="80">
        <v>10447844</v>
      </c>
      <c r="N13" s="42" t="s">
        <v>448</v>
      </c>
      <c r="O13" s="82">
        <v>79</v>
      </c>
      <c r="P13" s="82" t="s">
        <v>69</v>
      </c>
      <c r="Q13" s="82">
        <v>79</v>
      </c>
      <c r="R13" s="84">
        <f t="shared" si="0"/>
        <v>0</v>
      </c>
    </row>
    <row r="14" spans="1:18" x14ac:dyDescent="0.35">
      <c r="A14" s="41">
        <v>10447855</v>
      </c>
      <c r="B14" s="42" t="s">
        <v>161</v>
      </c>
      <c r="C14" s="11">
        <v>72</v>
      </c>
      <c r="D14" s="11" t="s">
        <v>69</v>
      </c>
      <c r="E14" s="3"/>
      <c r="F14" s="18">
        <v>10447855</v>
      </c>
      <c r="G14" s="9" t="s">
        <v>320</v>
      </c>
      <c r="H14" s="10">
        <v>72</v>
      </c>
      <c r="I14" s="10" t="s">
        <v>69</v>
      </c>
      <c r="J14" s="76">
        <v>72</v>
      </c>
      <c r="K14" s="2" t="s">
        <v>398</v>
      </c>
      <c r="L14" s="53">
        <v>72</v>
      </c>
      <c r="M14" s="80">
        <v>10447855</v>
      </c>
      <c r="N14" s="42" t="s">
        <v>465</v>
      </c>
      <c r="O14" s="82">
        <v>72</v>
      </c>
      <c r="P14" s="82" t="s">
        <v>69</v>
      </c>
      <c r="Q14" s="82">
        <v>72</v>
      </c>
      <c r="R14" s="84">
        <f t="shared" si="0"/>
        <v>0</v>
      </c>
    </row>
    <row r="15" spans="1:18" x14ac:dyDescent="0.35">
      <c r="A15" s="41">
        <v>10674299</v>
      </c>
      <c r="B15" s="42" t="s">
        <v>163</v>
      </c>
      <c r="C15" s="11">
        <v>62</v>
      </c>
      <c r="D15" s="11" t="s">
        <v>69</v>
      </c>
      <c r="E15" s="3"/>
      <c r="F15" s="18">
        <v>10674299</v>
      </c>
      <c r="G15" s="9" t="s">
        <v>322</v>
      </c>
      <c r="H15" s="10">
        <v>62</v>
      </c>
      <c r="I15" s="10" t="s">
        <v>69</v>
      </c>
      <c r="J15" s="76">
        <v>62</v>
      </c>
      <c r="K15" s="2" t="s">
        <v>398</v>
      </c>
      <c r="L15" s="53">
        <v>62</v>
      </c>
      <c r="M15" s="80">
        <v>10674299</v>
      </c>
      <c r="N15" s="42" t="s">
        <v>467</v>
      </c>
      <c r="O15" s="82">
        <v>62</v>
      </c>
      <c r="P15" s="82" t="s">
        <v>69</v>
      </c>
      <c r="Q15" s="82">
        <v>62</v>
      </c>
      <c r="R15" s="84">
        <f t="shared" si="0"/>
        <v>0</v>
      </c>
    </row>
    <row r="16" spans="1:18" x14ac:dyDescent="0.35">
      <c r="A16" s="41">
        <v>10674026</v>
      </c>
      <c r="B16" s="42" t="s">
        <v>192</v>
      </c>
      <c r="C16" s="11">
        <v>61.5</v>
      </c>
      <c r="D16" s="11" t="s">
        <v>69</v>
      </c>
      <c r="E16" s="3"/>
      <c r="F16" s="18">
        <v>10674026</v>
      </c>
      <c r="G16" s="9" t="s">
        <v>358</v>
      </c>
      <c r="H16" s="10">
        <v>61.5</v>
      </c>
      <c r="I16" s="10" t="s">
        <v>69</v>
      </c>
      <c r="J16" s="76">
        <v>61.5</v>
      </c>
      <c r="K16" s="2" t="s">
        <v>398</v>
      </c>
      <c r="L16" s="53">
        <v>61.5</v>
      </c>
      <c r="M16" s="80">
        <v>10674026</v>
      </c>
      <c r="N16" s="42" t="s">
        <v>480</v>
      </c>
      <c r="O16" s="82">
        <v>61.5</v>
      </c>
      <c r="P16" s="82" t="s">
        <v>69</v>
      </c>
      <c r="Q16" s="82">
        <v>61.5</v>
      </c>
      <c r="R16" s="84">
        <f t="shared" si="0"/>
        <v>0</v>
      </c>
    </row>
    <row r="17" spans="1:18" x14ac:dyDescent="0.35">
      <c r="A17" s="41">
        <v>10447833</v>
      </c>
      <c r="B17" s="42" t="s">
        <v>165</v>
      </c>
      <c r="C17" s="11">
        <v>84</v>
      </c>
      <c r="D17" s="11" t="s">
        <v>69</v>
      </c>
      <c r="E17" s="3"/>
      <c r="F17" s="18">
        <v>10447833</v>
      </c>
      <c r="G17" s="9" t="s">
        <v>324</v>
      </c>
      <c r="H17" s="10">
        <v>84</v>
      </c>
      <c r="I17" s="10" t="s">
        <v>69</v>
      </c>
      <c r="J17" s="76">
        <v>84</v>
      </c>
      <c r="K17" s="2" t="s">
        <v>398</v>
      </c>
      <c r="L17" s="53">
        <v>84</v>
      </c>
      <c r="M17" s="80">
        <v>10447833</v>
      </c>
      <c r="N17" s="42" t="s">
        <v>451</v>
      </c>
      <c r="O17" s="82">
        <v>84</v>
      </c>
      <c r="P17" s="82" t="s">
        <v>69</v>
      </c>
      <c r="Q17" s="82">
        <v>84</v>
      </c>
      <c r="R17" s="84">
        <f t="shared" si="0"/>
        <v>0</v>
      </c>
    </row>
    <row r="18" spans="1:18" x14ac:dyDescent="0.35">
      <c r="A18" s="41">
        <v>9856323</v>
      </c>
      <c r="B18" s="42" t="s">
        <v>193</v>
      </c>
      <c r="C18" s="11">
        <v>81.5</v>
      </c>
      <c r="D18" s="11" t="s">
        <v>69</v>
      </c>
      <c r="E18" s="3"/>
      <c r="F18" s="18">
        <v>9856323</v>
      </c>
      <c r="G18" s="9" t="s">
        <v>390</v>
      </c>
      <c r="H18" s="10">
        <v>81.5</v>
      </c>
      <c r="I18" s="10" t="s">
        <v>69</v>
      </c>
      <c r="J18" s="76">
        <v>81.5</v>
      </c>
      <c r="K18" s="2" t="s">
        <v>398</v>
      </c>
      <c r="L18" s="53">
        <v>81.5</v>
      </c>
      <c r="M18" s="80">
        <v>9856323</v>
      </c>
      <c r="N18" s="42" t="s">
        <v>481</v>
      </c>
      <c r="O18" s="82">
        <v>81.5</v>
      </c>
      <c r="P18" s="82" t="s">
        <v>69</v>
      </c>
      <c r="Q18" s="82">
        <v>81.5</v>
      </c>
      <c r="R18" s="84">
        <f t="shared" si="0"/>
        <v>0</v>
      </c>
    </row>
    <row r="19" spans="1:18" x14ac:dyDescent="0.35">
      <c r="A19" s="41">
        <v>9546011</v>
      </c>
      <c r="B19" s="42" t="s">
        <v>166</v>
      </c>
      <c r="C19" s="11">
        <v>48.5</v>
      </c>
      <c r="D19" s="11" t="s">
        <v>69</v>
      </c>
      <c r="E19" s="3"/>
      <c r="F19" s="18">
        <v>9546011</v>
      </c>
      <c r="G19" s="9" t="s">
        <v>325</v>
      </c>
      <c r="H19" s="10">
        <v>48.5</v>
      </c>
      <c r="I19" s="10" t="s">
        <v>69</v>
      </c>
      <c r="J19" s="76">
        <v>48.5</v>
      </c>
      <c r="K19" s="2" t="s">
        <v>398</v>
      </c>
      <c r="L19" s="53">
        <v>48.5</v>
      </c>
      <c r="M19" s="80">
        <v>9546011</v>
      </c>
      <c r="N19" s="42" t="s">
        <v>452</v>
      </c>
      <c r="O19" s="82">
        <v>48.5</v>
      </c>
      <c r="P19" s="82" t="s">
        <v>69</v>
      </c>
      <c r="Q19" s="82">
        <v>48.5</v>
      </c>
      <c r="R19" s="84">
        <f t="shared" si="0"/>
        <v>0</v>
      </c>
    </row>
    <row r="20" spans="1:18" x14ac:dyDescent="0.35">
      <c r="A20" s="41">
        <v>9856286</v>
      </c>
      <c r="B20" s="42" t="s">
        <v>194</v>
      </c>
      <c r="C20" s="11">
        <v>78</v>
      </c>
      <c r="D20" s="11" t="s">
        <v>69</v>
      </c>
      <c r="E20" s="3"/>
      <c r="F20" s="18">
        <v>9856286</v>
      </c>
      <c r="G20" s="9" t="s">
        <v>391</v>
      </c>
      <c r="H20" s="10">
        <v>78</v>
      </c>
      <c r="I20" s="10" t="s">
        <v>69</v>
      </c>
      <c r="J20" s="76">
        <v>78</v>
      </c>
      <c r="K20" s="2" t="s">
        <v>398</v>
      </c>
      <c r="L20" s="53">
        <v>78</v>
      </c>
      <c r="M20" s="80">
        <v>9856286</v>
      </c>
      <c r="N20" s="42" t="s">
        <v>486</v>
      </c>
      <c r="O20" s="82">
        <v>78</v>
      </c>
      <c r="P20" s="82" t="s">
        <v>69</v>
      </c>
      <c r="Q20" s="82">
        <v>78</v>
      </c>
      <c r="R20" s="84">
        <f t="shared" si="0"/>
        <v>0</v>
      </c>
    </row>
    <row r="21" spans="1:18" x14ac:dyDescent="0.35">
      <c r="A21" s="41">
        <v>10447925</v>
      </c>
      <c r="B21" s="42" t="s">
        <v>168</v>
      </c>
      <c r="C21" s="11">
        <v>76.5</v>
      </c>
      <c r="D21" s="11" t="s">
        <v>69</v>
      </c>
      <c r="E21" s="3"/>
      <c r="F21" s="18">
        <v>10447925</v>
      </c>
      <c r="G21" s="9" t="s">
        <v>327</v>
      </c>
      <c r="H21" s="10">
        <v>76.5</v>
      </c>
      <c r="I21" s="10" t="s">
        <v>69</v>
      </c>
      <c r="J21" s="76">
        <v>76.5</v>
      </c>
      <c r="K21" s="2" t="s">
        <v>398</v>
      </c>
      <c r="L21" s="53">
        <v>76.5</v>
      </c>
      <c r="M21" s="80">
        <v>10447925</v>
      </c>
      <c r="N21" s="42" t="s">
        <v>444</v>
      </c>
      <c r="O21" s="82">
        <v>76.5</v>
      </c>
      <c r="P21" s="82" t="s">
        <v>69</v>
      </c>
      <c r="Q21" s="82">
        <v>76.5</v>
      </c>
      <c r="R21" s="84">
        <f t="shared" si="0"/>
        <v>0</v>
      </c>
    </row>
    <row r="22" spans="1:18" x14ac:dyDescent="0.35">
      <c r="A22" s="41">
        <v>10447914</v>
      </c>
      <c r="B22" s="42" t="s">
        <v>170</v>
      </c>
      <c r="C22" s="11">
        <v>73.5</v>
      </c>
      <c r="D22" s="11" t="s">
        <v>69</v>
      </c>
      <c r="E22" s="3"/>
      <c r="F22" s="18">
        <v>10447914</v>
      </c>
      <c r="G22" s="9" t="s">
        <v>329</v>
      </c>
      <c r="H22" s="10">
        <v>73.5</v>
      </c>
      <c r="I22" s="10" t="s">
        <v>69</v>
      </c>
      <c r="J22" s="76">
        <v>73.5</v>
      </c>
      <c r="K22" s="2" t="s">
        <v>398</v>
      </c>
      <c r="L22" s="53">
        <v>73.5</v>
      </c>
      <c r="M22" s="80">
        <v>10447914</v>
      </c>
      <c r="N22" s="42" t="s">
        <v>455</v>
      </c>
      <c r="O22" s="82">
        <v>73.5</v>
      </c>
      <c r="P22" s="82" t="s">
        <v>69</v>
      </c>
      <c r="Q22" s="82">
        <v>73.5</v>
      </c>
      <c r="R22" s="84">
        <f t="shared" si="0"/>
        <v>0</v>
      </c>
    </row>
    <row r="23" spans="1:18" x14ac:dyDescent="0.35">
      <c r="A23" s="41">
        <v>10448380</v>
      </c>
      <c r="B23" s="42" t="s">
        <v>171</v>
      </c>
      <c r="C23" s="11">
        <v>54.5</v>
      </c>
      <c r="D23" s="11" t="s">
        <v>69</v>
      </c>
      <c r="E23" s="3"/>
      <c r="F23" s="18">
        <v>10448380</v>
      </c>
      <c r="G23" s="9" t="s">
        <v>330</v>
      </c>
      <c r="H23" s="10">
        <v>54.5</v>
      </c>
      <c r="I23" s="10" t="s">
        <v>69</v>
      </c>
      <c r="J23" s="76">
        <v>54.5</v>
      </c>
      <c r="K23" s="2" t="s">
        <v>398</v>
      </c>
      <c r="L23" s="53">
        <v>54.5</v>
      </c>
      <c r="M23" s="80">
        <v>10448380</v>
      </c>
      <c r="N23" s="42" t="s">
        <v>456</v>
      </c>
      <c r="O23" s="82">
        <v>54.5</v>
      </c>
      <c r="P23" s="82" t="s">
        <v>69</v>
      </c>
      <c r="Q23" s="82">
        <v>54.5</v>
      </c>
      <c r="R23" s="84">
        <f t="shared" si="0"/>
        <v>0</v>
      </c>
    </row>
    <row r="24" spans="1:18" x14ac:dyDescent="0.35">
      <c r="A24" s="41">
        <v>9856264</v>
      </c>
      <c r="B24" s="42" t="s">
        <v>195</v>
      </c>
      <c r="C24" s="11">
        <v>74</v>
      </c>
      <c r="D24" s="11" t="s">
        <v>69</v>
      </c>
      <c r="E24" s="3"/>
      <c r="F24" s="18">
        <v>9856264</v>
      </c>
      <c r="G24" s="9" t="s">
        <v>349</v>
      </c>
      <c r="H24" s="10">
        <v>74</v>
      </c>
      <c r="I24" s="10" t="s">
        <v>69</v>
      </c>
      <c r="J24" s="76">
        <v>74</v>
      </c>
      <c r="K24" s="2" t="s">
        <v>398</v>
      </c>
      <c r="L24" s="53">
        <v>74</v>
      </c>
      <c r="M24" s="80">
        <v>9856264</v>
      </c>
      <c r="N24" s="42" t="s">
        <v>482</v>
      </c>
      <c r="O24" s="82">
        <v>74</v>
      </c>
      <c r="P24" s="82" t="s">
        <v>69</v>
      </c>
      <c r="Q24" s="82">
        <v>74</v>
      </c>
      <c r="R24" s="84">
        <f t="shared" si="0"/>
        <v>0</v>
      </c>
    </row>
    <row r="25" spans="1:18" x14ac:dyDescent="0.35">
      <c r="A25" s="41">
        <v>10448014</v>
      </c>
      <c r="B25" s="42" t="s">
        <v>175</v>
      </c>
      <c r="C25" s="11">
        <v>58.5</v>
      </c>
      <c r="D25" s="11" t="s">
        <v>69</v>
      </c>
      <c r="E25" s="3"/>
      <c r="F25" s="18">
        <v>10448014</v>
      </c>
      <c r="G25" s="9" t="s">
        <v>334</v>
      </c>
      <c r="H25" s="10">
        <v>58.5</v>
      </c>
      <c r="I25" s="10" t="s">
        <v>69</v>
      </c>
      <c r="J25" s="76">
        <v>58.5</v>
      </c>
      <c r="K25" s="2" t="s">
        <v>398</v>
      </c>
      <c r="L25" s="53">
        <v>58.5</v>
      </c>
      <c r="M25" s="80">
        <v>10448014</v>
      </c>
      <c r="N25" s="42" t="s">
        <v>461</v>
      </c>
      <c r="O25" s="82">
        <v>58.5</v>
      </c>
      <c r="P25" s="82" t="s">
        <v>69</v>
      </c>
      <c r="Q25" s="82">
        <v>58.5</v>
      </c>
      <c r="R25" s="84">
        <f t="shared" si="0"/>
        <v>0</v>
      </c>
    </row>
    <row r="26" spans="1:18" x14ac:dyDescent="0.35">
      <c r="A26" s="41">
        <v>10674185</v>
      </c>
      <c r="B26" s="42" t="s">
        <v>196</v>
      </c>
      <c r="C26" s="11">
        <v>77</v>
      </c>
      <c r="D26" s="11" t="s">
        <v>69</v>
      </c>
      <c r="E26" s="3"/>
      <c r="F26" s="18">
        <v>10674185</v>
      </c>
      <c r="G26" s="9" t="s">
        <v>373</v>
      </c>
      <c r="H26" s="10">
        <v>77</v>
      </c>
      <c r="I26" s="10" t="s">
        <v>69</v>
      </c>
      <c r="J26" s="76">
        <v>77</v>
      </c>
      <c r="K26" s="2" t="s">
        <v>398</v>
      </c>
      <c r="L26" s="53">
        <v>77</v>
      </c>
      <c r="M26" s="80">
        <v>10674185</v>
      </c>
      <c r="N26" s="42" t="s">
        <v>484</v>
      </c>
      <c r="O26" s="82">
        <v>77</v>
      </c>
      <c r="P26" s="82" t="s">
        <v>69</v>
      </c>
      <c r="Q26" s="82">
        <v>77</v>
      </c>
      <c r="R26" s="84">
        <f t="shared" si="0"/>
        <v>0</v>
      </c>
    </row>
    <row r="27" spans="1:18" x14ac:dyDescent="0.35">
      <c r="A27" s="41">
        <v>9057492</v>
      </c>
      <c r="B27" s="42" t="s">
        <v>197</v>
      </c>
      <c r="C27" s="11">
        <v>81.5</v>
      </c>
      <c r="D27" s="11" t="s">
        <v>69</v>
      </c>
      <c r="E27" s="3"/>
      <c r="F27" s="18">
        <v>9057492</v>
      </c>
      <c r="G27" s="9" t="s">
        <v>392</v>
      </c>
      <c r="H27" s="10">
        <v>81.5</v>
      </c>
      <c r="I27" s="10" t="s">
        <v>69</v>
      </c>
      <c r="J27" s="76">
        <v>81.5</v>
      </c>
      <c r="K27" s="2" t="s">
        <v>398</v>
      </c>
      <c r="L27" s="53">
        <v>81.5</v>
      </c>
      <c r="M27" s="80">
        <v>9057492</v>
      </c>
      <c r="N27" s="42" t="s">
        <v>487</v>
      </c>
      <c r="O27" s="82">
        <v>81.5</v>
      </c>
      <c r="P27" s="82" t="s">
        <v>69</v>
      </c>
      <c r="Q27" s="82">
        <v>81.5</v>
      </c>
      <c r="R27" s="84">
        <f t="shared" si="0"/>
        <v>0</v>
      </c>
    </row>
    <row r="28" spans="1:18" x14ac:dyDescent="0.35">
      <c r="A28" s="41">
        <v>9856242</v>
      </c>
      <c r="B28" s="42" t="s">
        <v>198</v>
      </c>
      <c r="C28" s="11">
        <v>73.5</v>
      </c>
      <c r="D28" s="11" t="s">
        <v>69</v>
      </c>
      <c r="E28" s="3"/>
      <c r="F28" s="18">
        <v>9856242</v>
      </c>
      <c r="G28" s="9" t="s">
        <v>393</v>
      </c>
      <c r="H28" s="10">
        <v>73.5</v>
      </c>
      <c r="I28" s="10" t="s">
        <v>69</v>
      </c>
      <c r="J28" s="76">
        <v>73.5</v>
      </c>
      <c r="K28" s="2" t="s">
        <v>398</v>
      </c>
      <c r="L28" s="53">
        <v>73.5</v>
      </c>
      <c r="M28" s="80">
        <v>9856242</v>
      </c>
      <c r="N28" s="42" t="s">
        <v>483</v>
      </c>
      <c r="O28" s="82">
        <v>73.5</v>
      </c>
      <c r="P28" s="82" t="s">
        <v>69</v>
      </c>
      <c r="Q28" s="82">
        <v>73.5</v>
      </c>
      <c r="R28" s="84">
        <f t="shared" si="0"/>
        <v>0</v>
      </c>
    </row>
    <row r="29" spans="1:18" x14ac:dyDescent="0.35">
      <c r="A29" s="41">
        <v>10447992</v>
      </c>
      <c r="B29" s="42" t="s">
        <v>199</v>
      </c>
      <c r="C29" s="11">
        <v>62</v>
      </c>
      <c r="D29" s="11" t="s">
        <v>69</v>
      </c>
      <c r="E29" s="3"/>
      <c r="F29" s="18">
        <v>10447992</v>
      </c>
      <c r="G29" s="9" t="s">
        <v>376</v>
      </c>
      <c r="H29" s="10">
        <v>62</v>
      </c>
      <c r="I29" s="10" t="s">
        <v>69</v>
      </c>
      <c r="J29" s="76">
        <v>62</v>
      </c>
      <c r="K29" s="2" t="s">
        <v>398</v>
      </c>
      <c r="L29" s="53">
        <v>62</v>
      </c>
      <c r="M29" s="80">
        <v>10447992</v>
      </c>
      <c r="N29" s="42" t="s">
        <v>485</v>
      </c>
      <c r="O29" s="82">
        <v>62</v>
      </c>
      <c r="P29" s="82" t="s">
        <v>69</v>
      </c>
      <c r="Q29" s="82">
        <v>62</v>
      </c>
      <c r="R29" s="84">
        <f t="shared" si="0"/>
        <v>0</v>
      </c>
    </row>
    <row r="30" spans="1:18" x14ac:dyDescent="0.35">
      <c r="A30" s="41">
        <v>10447970</v>
      </c>
      <c r="B30" s="42" t="s">
        <v>176</v>
      </c>
      <c r="C30" s="11">
        <v>62.5</v>
      </c>
      <c r="D30" s="11" t="s">
        <v>69</v>
      </c>
      <c r="E30" s="3"/>
      <c r="F30" s="18">
        <v>10447970</v>
      </c>
      <c r="G30" s="9" t="s">
        <v>335</v>
      </c>
      <c r="H30" s="10">
        <v>62.5</v>
      </c>
      <c r="I30" s="10" t="s">
        <v>69</v>
      </c>
      <c r="J30" s="76">
        <v>62.5</v>
      </c>
      <c r="K30" s="2" t="s">
        <v>398</v>
      </c>
      <c r="L30" s="53">
        <v>62.5</v>
      </c>
      <c r="M30" s="80">
        <v>10447970</v>
      </c>
      <c r="N30" s="42" t="s">
        <v>464</v>
      </c>
      <c r="O30" s="82">
        <v>62.5</v>
      </c>
      <c r="P30" s="82" t="s">
        <v>69</v>
      </c>
      <c r="Q30" s="82">
        <v>62.5</v>
      </c>
      <c r="R30" s="84">
        <f t="shared" si="0"/>
        <v>0</v>
      </c>
    </row>
    <row r="31" spans="1:18" x14ac:dyDescent="0.35">
      <c r="A31" s="41">
        <v>9856301</v>
      </c>
      <c r="B31" s="42" t="s">
        <v>200</v>
      </c>
      <c r="C31" s="11">
        <v>60.5</v>
      </c>
      <c r="D31" s="11" t="s">
        <v>69</v>
      </c>
      <c r="E31" s="3"/>
      <c r="F31" s="18">
        <v>9856301</v>
      </c>
      <c r="G31" s="9" t="s">
        <v>394</v>
      </c>
      <c r="H31" s="10">
        <v>60.5</v>
      </c>
      <c r="I31" s="10" t="s">
        <v>69</v>
      </c>
      <c r="J31" s="76">
        <v>60.5</v>
      </c>
      <c r="K31" s="2" t="s">
        <v>398</v>
      </c>
      <c r="L31" s="53">
        <v>60.5</v>
      </c>
      <c r="M31" s="80">
        <v>9856301</v>
      </c>
      <c r="N31" s="42" t="s">
        <v>488</v>
      </c>
      <c r="O31" s="82">
        <v>60.5</v>
      </c>
      <c r="P31" s="82" t="s">
        <v>69</v>
      </c>
      <c r="Q31" s="82">
        <v>60.5</v>
      </c>
      <c r="R31" s="84">
        <f t="shared" si="0"/>
        <v>0</v>
      </c>
    </row>
    <row r="32" spans="1:18" x14ac:dyDescent="0.35">
      <c r="A32" s="41">
        <v>10674369</v>
      </c>
      <c r="B32" s="42" t="s">
        <v>201</v>
      </c>
      <c r="C32" s="11">
        <v>77</v>
      </c>
      <c r="D32" s="11" t="s">
        <v>69</v>
      </c>
      <c r="E32" s="3"/>
      <c r="F32" s="18">
        <v>10674369</v>
      </c>
      <c r="G32" s="9" t="s">
        <v>379</v>
      </c>
      <c r="H32" s="10">
        <v>77</v>
      </c>
      <c r="I32" s="10" t="s">
        <v>69</v>
      </c>
      <c r="J32" s="76">
        <v>77</v>
      </c>
      <c r="K32" s="2" t="s">
        <v>398</v>
      </c>
      <c r="L32" s="53">
        <v>77</v>
      </c>
      <c r="M32" s="80">
        <v>10674369</v>
      </c>
      <c r="N32" s="42" t="s">
        <v>490</v>
      </c>
      <c r="O32" s="82">
        <v>77</v>
      </c>
      <c r="P32" s="82" t="s">
        <v>69</v>
      </c>
      <c r="Q32" s="82">
        <v>77</v>
      </c>
      <c r="R32" s="84">
        <f t="shared" si="0"/>
        <v>0</v>
      </c>
    </row>
    <row r="33" spans="1:18" x14ac:dyDescent="0.35">
      <c r="A33" s="41">
        <v>10674347</v>
      </c>
      <c r="B33" s="42" t="s">
        <v>202</v>
      </c>
      <c r="C33" s="11">
        <v>71.5</v>
      </c>
      <c r="D33" s="11" t="s">
        <v>69</v>
      </c>
      <c r="E33" s="3"/>
      <c r="F33" s="18">
        <v>10674347</v>
      </c>
      <c r="G33" s="9" t="s">
        <v>380</v>
      </c>
      <c r="H33" s="10">
        <v>71.5</v>
      </c>
      <c r="I33" s="10" t="s">
        <v>69</v>
      </c>
      <c r="J33" s="76">
        <v>71.5</v>
      </c>
      <c r="K33" s="2" t="s">
        <v>398</v>
      </c>
      <c r="L33" s="53">
        <v>71.5</v>
      </c>
      <c r="M33" s="80">
        <v>10674347</v>
      </c>
      <c r="N33" s="42" t="s">
        <v>491</v>
      </c>
      <c r="O33" s="82">
        <v>71.5</v>
      </c>
      <c r="P33" s="82" t="s">
        <v>69</v>
      </c>
      <c r="Q33" s="82">
        <v>71.5</v>
      </c>
      <c r="R33" s="84">
        <f t="shared" si="0"/>
        <v>0</v>
      </c>
    </row>
    <row r="34" spans="1:18" x14ac:dyDescent="0.35">
      <c r="A34" s="41">
        <v>9658417</v>
      </c>
      <c r="B34" s="42" t="s">
        <v>180</v>
      </c>
      <c r="C34" s="11">
        <v>74.5</v>
      </c>
      <c r="D34" s="11" t="s">
        <v>69</v>
      </c>
      <c r="E34" s="3"/>
      <c r="F34" s="18">
        <v>9658417</v>
      </c>
      <c r="G34" s="9" t="s">
        <v>339</v>
      </c>
      <c r="H34" s="10">
        <v>74.5</v>
      </c>
      <c r="I34" s="10" t="s">
        <v>69</v>
      </c>
      <c r="J34" s="76">
        <v>74.5</v>
      </c>
      <c r="K34" s="2" t="s">
        <v>398</v>
      </c>
      <c r="L34" s="53">
        <v>74.5</v>
      </c>
      <c r="M34" s="80">
        <v>9658417</v>
      </c>
      <c r="N34" s="42" t="s">
        <v>469</v>
      </c>
      <c r="O34" s="82">
        <v>74.5</v>
      </c>
      <c r="P34" s="82" t="s">
        <v>69</v>
      </c>
      <c r="Q34" s="82">
        <v>74.5</v>
      </c>
      <c r="R34" s="84">
        <f t="shared" si="0"/>
        <v>0</v>
      </c>
    </row>
    <row r="35" spans="1:18" x14ac:dyDescent="0.35">
      <c r="A35" s="41">
        <v>10447877</v>
      </c>
      <c r="B35" s="42" t="s">
        <v>181</v>
      </c>
      <c r="C35" s="11">
        <v>75</v>
      </c>
      <c r="D35" s="11" t="s">
        <v>69</v>
      </c>
      <c r="E35" s="3"/>
      <c r="F35" s="18">
        <v>10447877</v>
      </c>
      <c r="G35" s="9" t="s">
        <v>340</v>
      </c>
      <c r="H35" s="10">
        <v>75</v>
      </c>
      <c r="I35" s="10" t="s">
        <v>69</v>
      </c>
      <c r="J35" s="76">
        <v>75</v>
      </c>
      <c r="K35" s="2" t="s">
        <v>398</v>
      </c>
      <c r="L35" s="53">
        <v>75</v>
      </c>
      <c r="M35" s="80">
        <v>10447877</v>
      </c>
      <c r="N35" s="42" t="s">
        <v>470</v>
      </c>
      <c r="O35" s="82">
        <v>75</v>
      </c>
      <c r="P35" s="82" t="s">
        <v>69</v>
      </c>
      <c r="Q35" s="82">
        <v>75</v>
      </c>
      <c r="R35" s="84">
        <f t="shared" si="0"/>
        <v>0</v>
      </c>
    </row>
    <row r="36" spans="1:18" x14ac:dyDescent="0.35">
      <c r="A36" s="41">
        <v>9856389</v>
      </c>
      <c r="B36" s="42" t="s">
        <v>203</v>
      </c>
      <c r="C36" s="11">
        <v>81</v>
      </c>
      <c r="D36" s="11" t="s">
        <v>69</v>
      </c>
      <c r="E36" s="3"/>
      <c r="F36" s="18">
        <v>9856389</v>
      </c>
      <c r="G36" s="9" t="s">
        <v>395</v>
      </c>
      <c r="H36" s="10">
        <v>81</v>
      </c>
      <c r="I36" s="10" t="s">
        <v>69</v>
      </c>
      <c r="J36" s="76">
        <v>81</v>
      </c>
      <c r="K36" s="2" t="s">
        <v>398</v>
      </c>
      <c r="L36" s="53">
        <v>81</v>
      </c>
      <c r="M36" s="80">
        <v>9856389</v>
      </c>
      <c r="N36" s="42" t="s">
        <v>489</v>
      </c>
      <c r="O36" s="82">
        <v>81</v>
      </c>
      <c r="P36" s="82" t="s">
        <v>69</v>
      </c>
      <c r="Q36" s="82">
        <v>81</v>
      </c>
      <c r="R36" s="84">
        <f t="shared" si="0"/>
        <v>0</v>
      </c>
    </row>
    <row r="37" spans="1:18" x14ac:dyDescent="0.35">
      <c r="A37" s="41">
        <v>9658439</v>
      </c>
      <c r="B37" s="42" t="s">
        <v>185</v>
      </c>
      <c r="C37" s="11">
        <v>83</v>
      </c>
      <c r="D37" s="11" t="s">
        <v>69</v>
      </c>
      <c r="E37" s="3"/>
      <c r="F37" s="18">
        <v>9658439</v>
      </c>
      <c r="G37" s="9" t="s">
        <v>344</v>
      </c>
      <c r="H37" s="10">
        <v>83</v>
      </c>
      <c r="I37" s="10" t="s">
        <v>69</v>
      </c>
      <c r="J37" s="76">
        <v>83</v>
      </c>
      <c r="K37" s="2" t="s">
        <v>398</v>
      </c>
      <c r="L37" s="53">
        <v>83</v>
      </c>
      <c r="M37" s="80">
        <v>9658439</v>
      </c>
      <c r="N37" s="42" t="s">
        <v>474</v>
      </c>
      <c r="O37" s="82">
        <v>83</v>
      </c>
      <c r="P37" s="82" t="s">
        <v>69</v>
      </c>
      <c r="Q37" s="82">
        <v>83</v>
      </c>
      <c r="R37" s="84">
        <f t="shared" si="0"/>
        <v>0</v>
      </c>
    </row>
    <row r="38" spans="1:18" x14ac:dyDescent="0.35">
      <c r="A38" s="41">
        <v>9546033</v>
      </c>
      <c r="B38" s="42" t="s">
        <v>186</v>
      </c>
      <c r="C38" s="11">
        <v>81.5</v>
      </c>
      <c r="D38" s="11" t="s">
        <v>69</v>
      </c>
      <c r="E38" s="3"/>
      <c r="F38" s="18">
        <v>9546033</v>
      </c>
      <c r="G38" s="9" t="s">
        <v>345</v>
      </c>
      <c r="H38" s="10">
        <v>81.5</v>
      </c>
      <c r="I38" s="10" t="s">
        <v>69</v>
      </c>
      <c r="J38" s="76">
        <v>81.5</v>
      </c>
      <c r="K38" s="2" t="s">
        <v>398</v>
      </c>
      <c r="L38" s="53">
        <v>81.5</v>
      </c>
      <c r="M38" s="80">
        <v>9546033</v>
      </c>
      <c r="N38" s="42" t="s">
        <v>475</v>
      </c>
      <c r="O38" s="82">
        <v>81.5</v>
      </c>
      <c r="P38" s="82" t="s">
        <v>69</v>
      </c>
      <c r="Q38" s="82">
        <v>81.5</v>
      </c>
      <c r="R38" s="84">
        <f t="shared" si="0"/>
        <v>0</v>
      </c>
    </row>
    <row r="39" spans="1:18" x14ac:dyDescent="0.35">
      <c r="A39" s="41">
        <v>9546044</v>
      </c>
      <c r="B39" s="42" t="s">
        <v>187</v>
      </c>
      <c r="C39" s="11">
        <v>70.5</v>
      </c>
      <c r="D39" s="11" t="s">
        <v>69</v>
      </c>
      <c r="E39" s="3"/>
      <c r="F39" s="18">
        <v>9546044</v>
      </c>
      <c r="G39" s="9" t="s">
        <v>346</v>
      </c>
      <c r="H39" s="10">
        <v>70.5</v>
      </c>
      <c r="I39" s="10" t="s">
        <v>69</v>
      </c>
      <c r="J39" s="76">
        <v>70.5</v>
      </c>
      <c r="K39" s="2" t="s">
        <v>398</v>
      </c>
      <c r="L39" s="53">
        <v>70.5</v>
      </c>
      <c r="M39" s="80">
        <v>9546044</v>
      </c>
      <c r="N39" s="42" t="s">
        <v>476</v>
      </c>
      <c r="O39" s="82">
        <v>70.5</v>
      </c>
      <c r="P39" s="82" t="s">
        <v>69</v>
      </c>
      <c r="Q39" s="82">
        <v>70.5</v>
      </c>
      <c r="R39" s="84">
        <f t="shared" si="0"/>
        <v>0</v>
      </c>
    </row>
    <row r="40" spans="1:18" hidden="1" x14ac:dyDescent="0.35">
      <c r="A40" s="41"/>
      <c r="B40" s="42"/>
      <c r="C40" s="11"/>
      <c r="D40" s="11"/>
      <c r="E40" s="3"/>
      <c r="F40" s="18"/>
      <c r="G40" s="9"/>
      <c r="H40" s="10"/>
      <c r="I40" s="10"/>
      <c r="J40" s="76"/>
      <c r="K40" s="2" t="str">
        <f t="shared" ref="K40:K73" si="1">IF(I40="-", IF(J40&lt;$K$6, "Failed!", "pass"), IF(AND(H40&gt;=$J$6, I40&gt;=$J$6, J40&gt;=$K$6), "pass", "Failed!"))</f>
        <v>Failed!</v>
      </c>
      <c r="L40" s="53"/>
      <c r="M40" s="80"/>
      <c r="N40" s="42"/>
      <c r="O40" s="82"/>
      <c r="P40" s="82"/>
      <c r="Q40" s="82"/>
    </row>
    <row r="41" spans="1:18" hidden="1" x14ac:dyDescent="0.35">
      <c r="A41" s="41"/>
      <c r="B41" s="42"/>
      <c r="C41" s="11"/>
      <c r="D41" s="11"/>
      <c r="E41" s="3"/>
      <c r="F41" s="18"/>
      <c r="G41" s="9"/>
      <c r="H41" s="10"/>
      <c r="I41" s="10"/>
      <c r="J41" s="76"/>
      <c r="K41" s="2" t="str">
        <f t="shared" si="1"/>
        <v>Failed!</v>
      </c>
      <c r="L41" s="53"/>
      <c r="M41" s="80"/>
      <c r="N41" s="42"/>
      <c r="O41" s="82"/>
      <c r="P41" s="82"/>
      <c r="Q41" s="82"/>
    </row>
    <row r="42" spans="1:18" hidden="1" x14ac:dyDescent="0.35">
      <c r="A42" s="41"/>
      <c r="B42" s="42"/>
      <c r="C42" s="11"/>
      <c r="D42" s="11"/>
      <c r="E42" s="3"/>
      <c r="F42" s="18"/>
      <c r="G42" s="9"/>
      <c r="H42" s="10"/>
      <c r="I42" s="10"/>
      <c r="J42" s="76"/>
      <c r="K42" s="2" t="str">
        <f t="shared" si="1"/>
        <v>Failed!</v>
      </c>
      <c r="L42" s="53"/>
      <c r="M42" s="80"/>
      <c r="N42" s="42"/>
      <c r="O42" s="82"/>
      <c r="P42" s="82"/>
      <c r="Q42" s="82"/>
    </row>
    <row r="43" spans="1:18" hidden="1" x14ac:dyDescent="0.35">
      <c r="A43" s="41"/>
      <c r="B43" s="42"/>
      <c r="C43" s="11"/>
      <c r="D43" s="11"/>
      <c r="E43" s="3"/>
      <c r="F43" s="18"/>
      <c r="G43" s="9"/>
      <c r="H43" s="10"/>
      <c r="I43" s="10"/>
      <c r="J43" s="76"/>
      <c r="K43" s="2" t="str">
        <f t="shared" si="1"/>
        <v>Failed!</v>
      </c>
      <c r="L43" s="53"/>
      <c r="M43" s="80"/>
      <c r="N43" s="42"/>
      <c r="O43" s="82"/>
      <c r="P43" s="82"/>
      <c r="Q43" s="82"/>
    </row>
    <row r="44" spans="1:18" hidden="1" x14ac:dyDescent="0.35">
      <c r="A44" s="41"/>
      <c r="B44" s="42"/>
      <c r="C44" s="11"/>
      <c r="D44" s="11"/>
      <c r="E44" s="3"/>
      <c r="F44" s="18"/>
      <c r="G44" s="9"/>
      <c r="H44" s="10"/>
      <c r="I44" s="10"/>
      <c r="J44" s="76"/>
      <c r="K44" s="2" t="str">
        <f t="shared" si="1"/>
        <v>Failed!</v>
      </c>
      <c r="L44" s="53"/>
      <c r="M44" s="80"/>
      <c r="N44" s="42"/>
      <c r="O44" s="82"/>
      <c r="P44" s="82"/>
      <c r="Q44" s="82"/>
    </row>
    <row r="45" spans="1:18" hidden="1" x14ac:dyDescent="0.35">
      <c r="A45" s="41"/>
      <c r="B45" s="42"/>
      <c r="C45" s="11"/>
      <c r="D45" s="11"/>
      <c r="E45" s="3"/>
      <c r="F45" s="18"/>
      <c r="G45" s="9"/>
      <c r="H45" s="10"/>
      <c r="I45" s="10"/>
      <c r="J45" s="76"/>
      <c r="K45" s="2" t="str">
        <f t="shared" si="1"/>
        <v>Failed!</v>
      </c>
      <c r="L45" s="53"/>
      <c r="M45" s="80"/>
      <c r="N45" s="42"/>
      <c r="O45" s="82"/>
      <c r="P45" s="82"/>
      <c r="Q45" s="82"/>
    </row>
    <row r="46" spans="1:18" hidden="1" x14ac:dyDescent="0.35">
      <c r="A46" s="41"/>
      <c r="B46" s="42"/>
      <c r="C46" s="11"/>
      <c r="D46" s="11"/>
      <c r="E46" s="3"/>
      <c r="F46" s="18"/>
      <c r="G46" s="9"/>
      <c r="H46" s="10"/>
      <c r="I46" s="10"/>
      <c r="J46" s="76"/>
      <c r="K46" s="2" t="str">
        <f t="shared" si="1"/>
        <v>Failed!</v>
      </c>
      <c r="L46" s="53"/>
      <c r="M46" s="80"/>
      <c r="N46" s="42"/>
      <c r="O46" s="82"/>
      <c r="P46" s="82"/>
      <c r="Q46" s="82"/>
    </row>
    <row r="47" spans="1:18" hidden="1" x14ac:dyDescent="0.35">
      <c r="A47" s="41"/>
      <c r="B47" s="42"/>
      <c r="C47" s="11"/>
      <c r="D47" s="11"/>
      <c r="E47" s="3"/>
      <c r="F47" s="18"/>
      <c r="G47" s="9"/>
      <c r="H47" s="10"/>
      <c r="I47" s="10"/>
      <c r="J47" s="76"/>
      <c r="K47" s="2" t="str">
        <f t="shared" si="1"/>
        <v>Failed!</v>
      </c>
      <c r="L47" s="53"/>
      <c r="M47" s="80"/>
      <c r="N47" s="42"/>
      <c r="O47" s="82"/>
      <c r="P47" s="82"/>
      <c r="Q47" s="82"/>
    </row>
    <row r="48" spans="1:18"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30</v>
      </c>
      <c r="G90" s="2" t="s">
        <v>14</v>
      </c>
      <c r="H90" s="40">
        <f>MAX(H10:H88)</f>
        <v>84</v>
      </c>
      <c r="I90" s="40">
        <f>MAX(I10:I88)</f>
        <v>0</v>
      </c>
      <c r="J90" s="40">
        <f>MAX(L10:L88)</f>
        <v>84</v>
      </c>
      <c r="M90" s="4"/>
    </row>
    <row r="91" spans="1:17" x14ac:dyDescent="0.35">
      <c r="G91" s="2" t="s">
        <v>12</v>
      </c>
      <c r="H91" s="40">
        <f>AVERAGE(H10:H88)</f>
        <v>71.61666666666666</v>
      </c>
      <c r="I91" s="40" t="e">
        <f>AVERAGE(I10:I88)</f>
        <v>#DIV/0!</v>
      </c>
      <c r="J91" s="40">
        <f>AVERAGE(L10:L88)</f>
        <v>71.61666666666666</v>
      </c>
      <c r="M91" s="4"/>
    </row>
    <row r="92" spans="1:17" x14ac:dyDescent="0.35">
      <c r="G92" s="2" t="s">
        <v>15</v>
      </c>
      <c r="H92" s="40">
        <f>MIN(H10:H88)</f>
        <v>48.5</v>
      </c>
      <c r="I92" s="40">
        <f>MIN(I10:I88)</f>
        <v>0</v>
      </c>
      <c r="J92" s="40">
        <f>MIN(L10:L88)</f>
        <v>48.5</v>
      </c>
      <c r="M92" s="4"/>
    </row>
    <row r="93" spans="1:17" x14ac:dyDescent="0.35">
      <c r="G93" s="2" t="s">
        <v>13</v>
      </c>
      <c r="H93" s="40">
        <f>STDEV(H10:H88)</f>
        <v>9.0921369338010294</v>
      </c>
      <c r="I93" s="40" t="e">
        <f>STDEV(I10:I88)</f>
        <v>#DIV/0!</v>
      </c>
      <c r="J93" s="40">
        <f>STDEV(L10:L88)</f>
        <v>9.0921369338010294</v>
      </c>
      <c r="M93" s="4"/>
    </row>
    <row r="94" spans="1:17" x14ac:dyDescent="0.35">
      <c r="G94" s="2" t="str">
        <f>"Failed count ( &lt; " &amp; K6 &amp; " )"</f>
        <v>Failed count ( &lt; 40 )</v>
      </c>
      <c r="H94" s="50">
        <f>COUNTIF(H10:H88, "&lt;40")</f>
        <v>0</v>
      </c>
      <c r="I94" s="50">
        <f>COUNTIF(I10:I88, "&lt;40")</f>
        <v>0</v>
      </c>
      <c r="J94" s="50">
        <f>COUNTIF(L10:L88, "&lt;40")</f>
        <v>0</v>
      </c>
      <c r="M94" s="4"/>
    </row>
    <row r="95" spans="1:17" x14ac:dyDescent="0.35">
      <c r="G95" s="2" t="s">
        <v>16</v>
      </c>
      <c r="H95" s="49">
        <f>1-H94/$F90</f>
        <v>1</v>
      </c>
      <c r="I95" s="49">
        <f>1-I94/$F90</f>
        <v>1</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36" priority="1" operator="lessThan">
      <formula>$K$6</formula>
    </cfRule>
  </conditionalFormatting>
  <conditionalFormatting sqref="F10:I88">
    <cfRule type="expression" dxfId="35" priority="2" stopIfTrue="1">
      <formula>F10=A10</formula>
    </cfRule>
    <cfRule type="expression" dxfId="34" priority="3" stopIfTrue="1">
      <formula>F10&lt;&gt;A10</formula>
    </cfRule>
  </conditionalFormatting>
  <conditionalFormatting sqref="M10:Q39">
    <cfRule type="expression" dxfId="33" priority="4" stopIfTrue="1">
      <formula>M10=F10</formula>
    </cfRule>
    <cfRule type="expression" dxfId="3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6802"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6803"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09"/>
  <sheetViews>
    <sheetView zoomScaleNormal="100" workbookViewId="0">
      <pane xSplit="1" ySplit="9" topLeftCell="L10" activePane="bottomRight" state="frozen"/>
      <selection activeCell="E16" sqref="E16"/>
      <selection pane="topRight" activeCell="E16" sqref="E16"/>
      <selection pane="bottomLeft" activeCell="E16" sqref="E16"/>
      <selection pane="bottomRight" activeCell="N12" sqref="N12"/>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6</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204</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205</v>
      </c>
      <c r="C5" s="14"/>
      <c r="D5" s="16"/>
      <c r="F5" s="59" t="s">
        <v>38</v>
      </c>
      <c r="L5" s="52"/>
      <c r="M5" s="47" t="s">
        <v>49</v>
      </c>
    </row>
    <row r="6" spans="1:18" x14ac:dyDescent="0.35">
      <c r="A6" s="20" t="s">
        <v>37</v>
      </c>
      <c r="B6" s="13" t="s">
        <v>68</v>
      </c>
      <c r="C6" s="14"/>
      <c r="D6" s="16"/>
      <c r="F6" s="59" t="s">
        <v>54</v>
      </c>
      <c r="J6" s="70">
        <v>35</v>
      </c>
      <c r="K6" s="70">
        <v>40</v>
      </c>
      <c r="L6" s="52"/>
      <c r="N6" s="51" t="str">
        <f>"int303com - bcscu.pdf"</f>
        <v>int303com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9658532</v>
      </c>
      <c r="B10" s="42" t="s">
        <v>353</v>
      </c>
      <c r="C10" s="11">
        <v>57.4</v>
      </c>
      <c r="D10" s="11" t="s">
        <v>69</v>
      </c>
      <c r="E10" s="3"/>
      <c r="F10" s="18">
        <v>9658532</v>
      </c>
      <c r="G10" s="9" t="s">
        <v>347</v>
      </c>
      <c r="H10" s="10">
        <v>57.4</v>
      </c>
      <c r="I10" s="10" t="s">
        <v>69</v>
      </c>
      <c r="J10" s="76">
        <v>57.4</v>
      </c>
      <c r="K10" s="2" t="s">
        <v>398</v>
      </c>
      <c r="L10" s="53">
        <v>57.4</v>
      </c>
      <c r="M10" s="80">
        <v>9658532</v>
      </c>
      <c r="N10" s="42" t="s">
        <v>493</v>
      </c>
      <c r="O10" s="82">
        <v>57.4</v>
      </c>
      <c r="P10" s="82" t="s">
        <v>69</v>
      </c>
      <c r="Q10" s="82">
        <v>40</v>
      </c>
      <c r="R10" s="85">
        <f t="shared" ref="R10:R15" si="0">ROUND(Q10 - ABS(J10), 2)</f>
        <v>-17.399999999999999</v>
      </c>
    </row>
    <row r="11" spans="1:18" x14ac:dyDescent="0.35">
      <c r="A11" s="41">
        <v>9658543</v>
      </c>
      <c r="B11" s="43" t="s">
        <v>243</v>
      </c>
      <c r="C11" s="11">
        <v>49.2</v>
      </c>
      <c r="D11" s="11" t="s">
        <v>69</v>
      </c>
      <c r="E11" s="3"/>
      <c r="F11" s="18">
        <v>9658543</v>
      </c>
      <c r="G11" s="9" t="s">
        <v>348</v>
      </c>
      <c r="H11" s="10">
        <v>49.2</v>
      </c>
      <c r="I11" s="10" t="s">
        <v>69</v>
      </c>
      <c r="J11" s="76">
        <v>49.2</v>
      </c>
      <c r="K11" s="2" t="s">
        <v>398</v>
      </c>
      <c r="L11" s="53">
        <v>49.2</v>
      </c>
      <c r="M11" s="80">
        <v>9658543</v>
      </c>
      <c r="N11" s="42" t="s">
        <v>496</v>
      </c>
      <c r="O11" s="82">
        <v>49.2</v>
      </c>
      <c r="P11" s="82" t="s">
        <v>69</v>
      </c>
      <c r="Q11" s="82">
        <v>40</v>
      </c>
      <c r="R11" s="85">
        <f t="shared" si="0"/>
        <v>-9.1999999999999993</v>
      </c>
    </row>
    <row r="12" spans="1:18" x14ac:dyDescent="0.35">
      <c r="A12" s="41">
        <v>9856264</v>
      </c>
      <c r="B12" s="42" t="s">
        <v>195</v>
      </c>
      <c r="C12" s="11">
        <v>49.5</v>
      </c>
      <c r="D12" s="11" t="s">
        <v>69</v>
      </c>
      <c r="E12" s="3"/>
      <c r="F12" s="18">
        <v>9856264</v>
      </c>
      <c r="G12" s="9" t="s">
        <v>349</v>
      </c>
      <c r="H12" s="10">
        <v>49.5</v>
      </c>
      <c r="I12" s="10" t="s">
        <v>69</v>
      </c>
      <c r="J12" s="76">
        <v>49.5</v>
      </c>
      <c r="K12" s="2" t="s">
        <v>398</v>
      </c>
      <c r="L12" s="53">
        <v>49.5</v>
      </c>
      <c r="M12" s="80">
        <v>9856264</v>
      </c>
      <c r="N12" s="42" t="s">
        <v>482</v>
      </c>
      <c r="O12" s="82">
        <v>49.5</v>
      </c>
      <c r="P12" s="82" t="s">
        <v>69</v>
      </c>
      <c r="Q12" s="82">
        <v>40</v>
      </c>
      <c r="R12" s="85">
        <f t="shared" si="0"/>
        <v>-9.5</v>
      </c>
    </row>
    <row r="13" spans="1:18" x14ac:dyDescent="0.35">
      <c r="A13" s="41">
        <v>9658749</v>
      </c>
      <c r="B13" s="42" t="s">
        <v>354</v>
      </c>
      <c r="C13" s="11">
        <v>29.1</v>
      </c>
      <c r="D13" s="11" t="s">
        <v>69</v>
      </c>
      <c r="E13" s="3"/>
      <c r="F13" s="18">
        <v>9658749</v>
      </c>
      <c r="G13" s="9" t="s">
        <v>350</v>
      </c>
      <c r="H13" s="10">
        <v>29.1</v>
      </c>
      <c r="I13" s="10" t="s">
        <v>69</v>
      </c>
      <c r="J13" s="76">
        <v>29.1</v>
      </c>
      <c r="K13" s="2" t="s">
        <v>398</v>
      </c>
      <c r="L13" s="53">
        <v>29.1</v>
      </c>
      <c r="M13" s="80">
        <v>9658749</v>
      </c>
      <c r="N13" s="42" t="s">
        <v>495</v>
      </c>
      <c r="O13" s="82">
        <v>29.1</v>
      </c>
      <c r="P13" s="82" t="s">
        <v>69</v>
      </c>
      <c r="Q13" s="82">
        <v>29.1</v>
      </c>
      <c r="R13" s="84">
        <f t="shared" si="0"/>
        <v>0</v>
      </c>
    </row>
    <row r="14" spans="1:18" x14ac:dyDescent="0.35">
      <c r="A14" s="41">
        <v>8881735</v>
      </c>
      <c r="B14" s="42" t="s">
        <v>206</v>
      </c>
      <c r="C14" s="11">
        <v>24</v>
      </c>
      <c r="D14" s="11" t="s">
        <v>69</v>
      </c>
      <c r="E14" s="3"/>
      <c r="F14" s="18">
        <v>8881735</v>
      </c>
      <c r="G14" s="9" t="s">
        <v>351</v>
      </c>
      <c r="H14" s="10">
        <v>24</v>
      </c>
      <c r="I14" s="10" t="s">
        <v>69</v>
      </c>
      <c r="J14" s="76">
        <v>24</v>
      </c>
      <c r="K14" s="2" t="s">
        <v>398</v>
      </c>
      <c r="L14" s="53">
        <v>24</v>
      </c>
      <c r="M14" s="80">
        <v>8881735</v>
      </c>
      <c r="N14" s="42" t="s">
        <v>494</v>
      </c>
      <c r="O14" s="82">
        <v>24</v>
      </c>
      <c r="P14" s="82" t="s">
        <v>69</v>
      </c>
      <c r="Q14" s="82">
        <v>24</v>
      </c>
      <c r="R14" s="84">
        <f t="shared" si="0"/>
        <v>0</v>
      </c>
    </row>
    <row r="15" spans="1:18" x14ac:dyDescent="0.35">
      <c r="A15" s="41">
        <v>9658819</v>
      </c>
      <c r="B15" s="42" t="s">
        <v>207</v>
      </c>
      <c r="C15" s="11">
        <v>42.2</v>
      </c>
      <c r="D15" s="11" t="s">
        <v>69</v>
      </c>
      <c r="E15" s="3"/>
      <c r="F15" s="18">
        <v>9658819</v>
      </c>
      <c r="G15" s="9" t="s">
        <v>352</v>
      </c>
      <c r="H15" s="10">
        <v>42.2</v>
      </c>
      <c r="I15" s="10" t="s">
        <v>69</v>
      </c>
      <c r="J15" s="76">
        <v>42.2</v>
      </c>
      <c r="K15" s="2" t="s">
        <v>398</v>
      </c>
      <c r="L15" s="53">
        <v>42.2</v>
      </c>
      <c r="M15" s="80">
        <v>9658819</v>
      </c>
      <c r="N15" s="42" t="s">
        <v>492</v>
      </c>
      <c r="O15" s="82">
        <v>42.2</v>
      </c>
      <c r="P15" s="82" t="s">
        <v>69</v>
      </c>
      <c r="Q15" s="82">
        <v>42.2</v>
      </c>
      <c r="R15" s="84">
        <f t="shared" si="0"/>
        <v>0</v>
      </c>
    </row>
    <row r="16" spans="1:18" hidden="1" x14ac:dyDescent="0.35">
      <c r="A16" s="41"/>
      <c r="B16" s="42"/>
      <c r="C16" s="11"/>
      <c r="D16" s="11"/>
      <c r="E16" s="3"/>
      <c r="F16" s="18"/>
      <c r="G16" s="9"/>
      <c r="H16" s="10"/>
      <c r="I16" s="10"/>
      <c r="J16" s="76"/>
      <c r="K16" s="2" t="str">
        <f t="shared" ref="K16:K73" si="1">IF(I16="-", IF(J16&lt;$K$6, "Failed!", "pass"), IF(AND(H16&gt;=$J$6, I16&gt;=$J$6, J16&gt;=$K$6), "pass", "Failed!"))</f>
        <v>Failed!</v>
      </c>
      <c r="L16" s="53"/>
      <c r="M16" s="80"/>
      <c r="N16" s="42"/>
      <c r="O16" s="82"/>
      <c r="P16" s="82"/>
      <c r="Q16" s="82"/>
    </row>
    <row r="17" spans="1:17" hidden="1" x14ac:dyDescent="0.35">
      <c r="A17" s="41"/>
      <c r="B17" s="42"/>
      <c r="C17" s="11"/>
      <c r="D17" s="11"/>
      <c r="E17" s="3"/>
      <c r="F17" s="18"/>
      <c r="G17" s="9"/>
      <c r="H17" s="10"/>
      <c r="I17" s="10"/>
      <c r="J17" s="76"/>
      <c r="K17" s="2" t="str">
        <f t="shared" si="1"/>
        <v>Failed!</v>
      </c>
      <c r="L17" s="53"/>
      <c r="M17" s="80"/>
      <c r="N17" s="42"/>
      <c r="O17" s="82"/>
      <c r="P17" s="82"/>
      <c r="Q17" s="82"/>
    </row>
    <row r="18" spans="1:17" hidden="1" x14ac:dyDescent="0.35">
      <c r="A18" s="41"/>
      <c r="B18" s="42"/>
      <c r="C18" s="11"/>
      <c r="D18" s="11"/>
      <c r="E18" s="3"/>
      <c r="F18" s="18"/>
      <c r="G18" s="9"/>
      <c r="H18" s="10"/>
      <c r="I18" s="10"/>
      <c r="J18" s="76"/>
      <c r="K18" s="2" t="str">
        <f t="shared" si="1"/>
        <v>Failed!</v>
      </c>
      <c r="L18" s="53"/>
      <c r="M18" s="80"/>
      <c r="N18" s="42"/>
      <c r="O18" s="82"/>
      <c r="P18" s="82"/>
      <c r="Q18" s="82"/>
    </row>
    <row r="19" spans="1:17" hidden="1" x14ac:dyDescent="0.35">
      <c r="A19" s="41"/>
      <c r="B19" s="42"/>
      <c r="C19" s="11"/>
      <c r="D19" s="11"/>
      <c r="E19" s="3"/>
      <c r="F19" s="18"/>
      <c r="G19" s="9"/>
      <c r="H19" s="10"/>
      <c r="I19" s="10"/>
      <c r="J19" s="76"/>
      <c r="K19" s="2" t="str">
        <f t="shared" si="1"/>
        <v>Failed!</v>
      </c>
      <c r="L19" s="53"/>
      <c r="M19" s="80"/>
      <c r="N19" s="42"/>
      <c r="O19" s="82"/>
      <c r="P19" s="82"/>
      <c r="Q19" s="82"/>
    </row>
    <row r="20" spans="1:17" hidden="1" x14ac:dyDescent="0.35">
      <c r="A20" s="41"/>
      <c r="B20" s="42"/>
      <c r="C20" s="11"/>
      <c r="D20" s="11"/>
      <c r="E20" s="3"/>
      <c r="F20" s="18"/>
      <c r="G20" s="9"/>
      <c r="H20" s="10"/>
      <c r="I20" s="10"/>
      <c r="J20" s="76"/>
      <c r="K20" s="2" t="str">
        <f t="shared" si="1"/>
        <v>Failed!</v>
      </c>
      <c r="L20" s="53"/>
      <c r="M20" s="80"/>
      <c r="N20" s="42"/>
      <c r="O20" s="82"/>
      <c r="P20" s="82"/>
      <c r="Q20" s="82"/>
    </row>
    <row r="21" spans="1:17" hidden="1" x14ac:dyDescent="0.35">
      <c r="A21" s="41"/>
      <c r="B21" s="42"/>
      <c r="C21" s="11"/>
      <c r="D21" s="11"/>
      <c r="E21" s="3"/>
      <c r="F21" s="18"/>
      <c r="G21" s="9"/>
      <c r="H21" s="10"/>
      <c r="I21" s="10"/>
      <c r="J21" s="76"/>
      <c r="K21" s="2" t="str">
        <f t="shared" si="1"/>
        <v>Failed!</v>
      </c>
      <c r="L21" s="53"/>
      <c r="M21" s="80"/>
      <c r="N21" s="42"/>
      <c r="O21" s="82"/>
      <c r="P21" s="82"/>
      <c r="Q21" s="82"/>
    </row>
    <row r="22" spans="1:17" hidden="1" x14ac:dyDescent="0.35">
      <c r="A22" s="41"/>
      <c r="B22" s="42"/>
      <c r="C22" s="11"/>
      <c r="D22" s="11"/>
      <c r="E22" s="3"/>
      <c r="F22" s="18"/>
      <c r="G22" s="9"/>
      <c r="H22" s="10"/>
      <c r="I22" s="10"/>
      <c r="J22" s="76"/>
      <c r="K22" s="2" t="str">
        <f t="shared" si="1"/>
        <v>Failed!</v>
      </c>
      <c r="L22" s="53"/>
      <c r="M22" s="80"/>
      <c r="N22" s="42"/>
      <c r="O22" s="82"/>
      <c r="P22" s="82"/>
      <c r="Q22" s="82"/>
    </row>
    <row r="23" spans="1:17" hidden="1" x14ac:dyDescent="0.35">
      <c r="A23" s="41"/>
      <c r="B23" s="42"/>
      <c r="C23" s="11"/>
      <c r="D23" s="11"/>
      <c r="E23" s="3"/>
      <c r="F23" s="18"/>
      <c r="G23" s="9"/>
      <c r="H23" s="10"/>
      <c r="I23" s="10"/>
      <c r="J23" s="76"/>
      <c r="K23" s="2" t="str">
        <f t="shared" si="1"/>
        <v>Failed!</v>
      </c>
      <c r="L23" s="53"/>
      <c r="M23" s="80"/>
      <c r="N23" s="42"/>
      <c r="O23" s="82"/>
      <c r="P23" s="82"/>
      <c r="Q23" s="82"/>
    </row>
    <row r="24" spans="1:17" hidden="1" x14ac:dyDescent="0.35">
      <c r="A24" s="41"/>
      <c r="B24" s="42"/>
      <c r="C24" s="11"/>
      <c r="D24" s="11"/>
      <c r="E24" s="3"/>
      <c r="F24" s="18"/>
      <c r="G24" s="9"/>
      <c r="H24" s="10"/>
      <c r="I24" s="10"/>
      <c r="J24" s="76"/>
      <c r="K24" s="2" t="str">
        <f t="shared" si="1"/>
        <v>Failed!</v>
      </c>
      <c r="L24" s="53"/>
      <c r="M24" s="80"/>
      <c r="N24" s="42"/>
      <c r="O24" s="82"/>
      <c r="P24" s="82"/>
      <c r="Q24" s="82"/>
    </row>
    <row r="25" spans="1:17" hidden="1" x14ac:dyDescent="0.35">
      <c r="A25" s="41"/>
      <c r="B25" s="42"/>
      <c r="C25" s="11"/>
      <c r="D25" s="11"/>
      <c r="E25" s="3"/>
      <c r="F25" s="18"/>
      <c r="G25" s="9"/>
      <c r="H25" s="10"/>
      <c r="I25" s="10"/>
      <c r="J25" s="76"/>
      <c r="K25" s="2" t="str">
        <f t="shared" si="1"/>
        <v>Failed!</v>
      </c>
      <c r="L25" s="53"/>
      <c r="M25" s="80"/>
      <c r="N25" s="42"/>
      <c r="O25" s="82"/>
      <c r="P25" s="82"/>
      <c r="Q25" s="82"/>
    </row>
    <row r="26" spans="1:17" hidden="1" x14ac:dyDescent="0.35">
      <c r="A26" s="41"/>
      <c r="B26" s="42"/>
      <c r="C26" s="11"/>
      <c r="D26" s="11"/>
      <c r="E26" s="3"/>
      <c r="F26" s="18"/>
      <c r="G26" s="9"/>
      <c r="H26" s="10"/>
      <c r="I26" s="10"/>
      <c r="J26" s="76"/>
      <c r="K26" s="2" t="str">
        <f t="shared" si="1"/>
        <v>Failed!</v>
      </c>
      <c r="L26" s="53"/>
      <c r="M26" s="80"/>
      <c r="N26" s="42"/>
      <c r="O26" s="82"/>
      <c r="P26" s="82"/>
      <c r="Q26" s="82"/>
    </row>
    <row r="27" spans="1:17" hidden="1" x14ac:dyDescent="0.35">
      <c r="A27" s="41"/>
      <c r="B27" s="42"/>
      <c r="C27" s="11"/>
      <c r="D27" s="11"/>
      <c r="E27" s="3"/>
      <c r="F27" s="18"/>
      <c r="G27" s="9"/>
      <c r="H27" s="10"/>
      <c r="I27" s="10"/>
      <c r="J27" s="76"/>
      <c r="K27" s="2" t="str">
        <f t="shared" si="1"/>
        <v>Failed!</v>
      </c>
      <c r="L27" s="53"/>
      <c r="M27" s="80"/>
      <c r="N27" s="42"/>
      <c r="O27" s="82"/>
      <c r="P27" s="82"/>
      <c r="Q27" s="82"/>
    </row>
    <row r="28" spans="1:17" hidden="1" x14ac:dyDescent="0.35">
      <c r="A28" s="41"/>
      <c r="B28" s="42"/>
      <c r="C28" s="11"/>
      <c r="D28" s="11"/>
      <c r="E28" s="3"/>
      <c r="F28" s="18"/>
      <c r="G28" s="9"/>
      <c r="H28" s="10"/>
      <c r="I28" s="10"/>
      <c r="J28" s="76"/>
      <c r="K28" s="2" t="str">
        <f t="shared" si="1"/>
        <v>Failed!</v>
      </c>
      <c r="L28" s="53"/>
      <c r="M28" s="80"/>
      <c r="N28" s="42"/>
      <c r="O28" s="82"/>
      <c r="P28" s="82"/>
      <c r="Q28" s="82"/>
    </row>
    <row r="29" spans="1:17" hidden="1" x14ac:dyDescent="0.35">
      <c r="A29" s="41"/>
      <c r="B29" s="42"/>
      <c r="C29" s="11"/>
      <c r="D29" s="11"/>
      <c r="E29" s="3"/>
      <c r="F29" s="18"/>
      <c r="G29" s="9"/>
      <c r="H29" s="10"/>
      <c r="I29" s="10"/>
      <c r="J29" s="76"/>
      <c r="K29" s="2" t="str">
        <f t="shared" si="1"/>
        <v>Failed!</v>
      </c>
      <c r="L29" s="53"/>
      <c r="M29" s="80"/>
      <c r="N29" s="42"/>
      <c r="O29" s="82"/>
      <c r="P29" s="82"/>
      <c r="Q29" s="82"/>
    </row>
    <row r="30" spans="1:17" hidden="1" x14ac:dyDescent="0.35">
      <c r="A30" s="41"/>
      <c r="B30" s="42"/>
      <c r="C30" s="11"/>
      <c r="D30" s="11"/>
      <c r="E30" s="3"/>
      <c r="F30" s="18"/>
      <c r="G30" s="9"/>
      <c r="H30" s="10"/>
      <c r="I30" s="10"/>
      <c r="J30" s="76"/>
      <c r="K30" s="2" t="str">
        <f t="shared" si="1"/>
        <v>Failed!</v>
      </c>
      <c r="L30" s="53"/>
      <c r="M30" s="80"/>
      <c r="N30" s="42"/>
      <c r="O30" s="82"/>
      <c r="P30" s="82"/>
      <c r="Q30" s="82"/>
    </row>
    <row r="31" spans="1:17" hidden="1" x14ac:dyDescent="0.35">
      <c r="A31" s="41"/>
      <c r="B31" s="42"/>
      <c r="C31" s="11"/>
      <c r="D31" s="11"/>
      <c r="E31" s="3"/>
      <c r="F31" s="18"/>
      <c r="G31" s="9"/>
      <c r="H31" s="10"/>
      <c r="I31" s="10"/>
      <c r="J31" s="76"/>
      <c r="K31" s="2" t="str">
        <f t="shared" si="1"/>
        <v>Failed!</v>
      </c>
      <c r="L31" s="53"/>
      <c r="M31" s="80"/>
      <c r="N31" s="42"/>
      <c r="O31" s="82"/>
      <c r="P31" s="82"/>
      <c r="Q31" s="82"/>
    </row>
    <row r="32" spans="1:17" hidden="1" x14ac:dyDescent="0.35">
      <c r="A32" s="41"/>
      <c r="B32" s="42"/>
      <c r="C32" s="11"/>
      <c r="D32" s="11"/>
      <c r="E32" s="3"/>
      <c r="F32" s="18"/>
      <c r="G32" s="9"/>
      <c r="H32" s="10"/>
      <c r="I32" s="10"/>
      <c r="J32" s="76"/>
      <c r="K32" s="2" t="str">
        <f t="shared" si="1"/>
        <v>Failed!</v>
      </c>
      <c r="L32" s="53"/>
      <c r="M32" s="80"/>
      <c r="N32" s="42"/>
      <c r="O32" s="82"/>
      <c r="P32" s="82"/>
      <c r="Q32" s="82"/>
    </row>
    <row r="33" spans="1:17" hidden="1" x14ac:dyDescent="0.35">
      <c r="A33" s="41"/>
      <c r="B33" s="42"/>
      <c r="C33" s="11"/>
      <c r="D33" s="11"/>
      <c r="E33" s="3"/>
      <c r="F33" s="18"/>
      <c r="G33" s="9"/>
      <c r="H33" s="10"/>
      <c r="I33" s="10"/>
      <c r="J33" s="76"/>
      <c r="K33" s="2" t="str">
        <f t="shared" si="1"/>
        <v>Failed!</v>
      </c>
      <c r="L33" s="53"/>
      <c r="M33" s="80"/>
      <c r="N33" s="42"/>
      <c r="O33" s="82"/>
      <c r="P33" s="82"/>
      <c r="Q33" s="82"/>
    </row>
    <row r="34" spans="1:17" hidden="1" x14ac:dyDescent="0.35">
      <c r="A34" s="41"/>
      <c r="B34" s="42"/>
      <c r="C34" s="11"/>
      <c r="D34" s="11"/>
      <c r="E34" s="3"/>
      <c r="F34" s="18"/>
      <c r="G34" s="9"/>
      <c r="H34" s="10"/>
      <c r="I34" s="10"/>
      <c r="J34" s="76"/>
      <c r="K34" s="2" t="str">
        <f t="shared" si="1"/>
        <v>Failed!</v>
      </c>
      <c r="L34" s="53"/>
      <c r="M34" s="80"/>
      <c r="N34" s="42"/>
      <c r="O34" s="82"/>
      <c r="P34" s="82"/>
      <c r="Q34" s="82"/>
    </row>
    <row r="35" spans="1:17" hidden="1" x14ac:dyDescent="0.35">
      <c r="A35" s="41"/>
      <c r="B35" s="42"/>
      <c r="C35" s="11"/>
      <c r="D35" s="11"/>
      <c r="E35" s="3"/>
      <c r="F35" s="18"/>
      <c r="G35" s="9"/>
      <c r="H35" s="10"/>
      <c r="I35" s="10"/>
      <c r="J35" s="76"/>
      <c r="K35" s="2" t="str">
        <f t="shared" si="1"/>
        <v>Failed!</v>
      </c>
      <c r="L35" s="53"/>
      <c r="M35" s="80"/>
      <c r="N35" s="42"/>
      <c r="O35" s="82"/>
      <c r="P35" s="82"/>
      <c r="Q35" s="82"/>
    </row>
    <row r="36" spans="1:17" hidden="1" x14ac:dyDescent="0.35">
      <c r="A36" s="41"/>
      <c r="B36" s="42"/>
      <c r="C36" s="11"/>
      <c r="D36" s="11"/>
      <c r="E36" s="3"/>
      <c r="F36" s="18"/>
      <c r="G36" s="9"/>
      <c r="H36" s="10"/>
      <c r="I36" s="10"/>
      <c r="J36" s="76"/>
      <c r="K36" s="2" t="str">
        <f t="shared" si="1"/>
        <v>Failed!</v>
      </c>
      <c r="L36" s="53"/>
      <c r="M36" s="80"/>
      <c r="N36" s="42"/>
      <c r="O36" s="82"/>
      <c r="P36" s="82"/>
      <c r="Q36" s="82"/>
    </row>
    <row r="37" spans="1:17" hidden="1" x14ac:dyDescent="0.35">
      <c r="A37" s="41"/>
      <c r="B37" s="42"/>
      <c r="C37" s="11"/>
      <c r="D37" s="11"/>
      <c r="E37" s="3"/>
      <c r="F37" s="18"/>
      <c r="G37" s="9"/>
      <c r="H37" s="10"/>
      <c r="I37" s="10"/>
      <c r="J37" s="76"/>
      <c r="K37" s="2" t="str">
        <f t="shared" si="1"/>
        <v>Failed!</v>
      </c>
      <c r="L37" s="53"/>
      <c r="M37" s="80"/>
      <c r="N37" s="42"/>
      <c r="O37" s="82"/>
      <c r="P37" s="82"/>
      <c r="Q37" s="82"/>
    </row>
    <row r="38" spans="1:17" hidden="1" x14ac:dyDescent="0.35">
      <c r="A38" s="41"/>
      <c r="B38" s="42"/>
      <c r="C38" s="11"/>
      <c r="D38" s="11"/>
      <c r="E38" s="3"/>
      <c r="F38" s="18"/>
      <c r="G38" s="9"/>
      <c r="H38" s="10"/>
      <c r="I38" s="10"/>
      <c r="J38" s="76"/>
      <c r="K38" s="2" t="str">
        <f t="shared" si="1"/>
        <v>Failed!</v>
      </c>
      <c r="L38" s="53"/>
      <c r="M38" s="80"/>
      <c r="N38" s="42"/>
      <c r="O38" s="82"/>
      <c r="P38" s="82"/>
      <c r="Q38" s="82"/>
    </row>
    <row r="39" spans="1:17" hidden="1" x14ac:dyDescent="0.35">
      <c r="A39" s="41"/>
      <c r="B39" s="42"/>
      <c r="C39" s="11"/>
      <c r="D39" s="11"/>
      <c r="E39" s="3"/>
      <c r="F39" s="18"/>
      <c r="G39" s="9"/>
      <c r="H39" s="10"/>
      <c r="I39" s="10"/>
      <c r="J39" s="76"/>
      <c r="K39" s="2" t="str">
        <f t="shared" si="1"/>
        <v>Failed!</v>
      </c>
      <c r="L39" s="53"/>
      <c r="M39" s="80"/>
      <c r="N39" s="42"/>
      <c r="O39" s="82"/>
      <c r="P39" s="82"/>
      <c r="Q39" s="82"/>
    </row>
    <row r="40" spans="1:17" hidden="1" x14ac:dyDescent="0.35">
      <c r="A40" s="41"/>
      <c r="B40" s="42"/>
      <c r="C40" s="11"/>
      <c r="D40" s="11"/>
      <c r="E40" s="3"/>
      <c r="F40" s="18"/>
      <c r="G40" s="9"/>
      <c r="H40" s="10"/>
      <c r="I40" s="10"/>
      <c r="J40" s="76"/>
      <c r="K40" s="2" t="str">
        <f t="shared" si="1"/>
        <v>Failed!</v>
      </c>
      <c r="L40" s="53"/>
      <c r="M40" s="80"/>
      <c r="N40" s="42"/>
      <c r="O40" s="82"/>
      <c r="P40" s="82"/>
      <c r="Q40" s="82"/>
    </row>
    <row r="41" spans="1:17" hidden="1" x14ac:dyDescent="0.35">
      <c r="A41" s="41"/>
      <c r="B41" s="42"/>
      <c r="C41" s="11"/>
      <c r="D41" s="11"/>
      <c r="E41" s="3"/>
      <c r="F41" s="18"/>
      <c r="G41" s="9"/>
      <c r="H41" s="10"/>
      <c r="I41" s="10"/>
      <c r="J41" s="76"/>
      <c r="K41" s="2" t="str">
        <f t="shared" si="1"/>
        <v>Failed!</v>
      </c>
      <c r="L41" s="53"/>
      <c r="M41" s="80"/>
      <c r="N41" s="42"/>
      <c r="O41" s="82"/>
      <c r="P41" s="82"/>
      <c r="Q41" s="82"/>
    </row>
    <row r="42" spans="1:17" hidden="1" x14ac:dyDescent="0.35">
      <c r="A42" s="41"/>
      <c r="B42" s="42"/>
      <c r="C42" s="11"/>
      <c r="D42" s="11"/>
      <c r="E42" s="3"/>
      <c r="F42" s="18"/>
      <c r="G42" s="9"/>
      <c r="H42" s="10"/>
      <c r="I42" s="10"/>
      <c r="J42" s="76"/>
      <c r="K42" s="2" t="str">
        <f t="shared" si="1"/>
        <v>Failed!</v>
      </c>
      <c r="L42" s="53"/>
      <c r="M42" s="80"/>
      <c r="N42" s="42"/>
      <c r="O42" s="82"/>
      <c r="P42" s="82"/>
      <c r="Q42" s="82"/>
    </row>
    <row r="43" spans="1:17" hidden="1" x14ac:dyDescent="0.35">
      <c r="A43" s="41"/>
      <c r="B43" s="42"/>
      <c r="C43" s="11"/>
      <c r="D43" s="11"/>
      <c r="E43" s="3"/>
      <c r="F43" s="18"/>
      <c r="G43" s="9"/>
      <c r="H43" s="10"/>
      <c r="I43" s="10"/>
      <c r="J43" s="76"/>
      <c r="K43" s="2" t="str">
        <f t="shared" si="1"/>
        <v>Failed!</v>
      </c>
      <c r="L43" s="53"/>
      <c r="M43" s="80"/>
      <c r="N43" s="42"/>
      <c r="O43" s="82"/>
      <c r="P43" s="82"/>
      <c r="Q43" s="82"/>
    </row>
    <row r="44" spans="1:17" hidden="1" x14ac:dyDescent="0.35">
      <c r="A44" s="41"/>
      <c r="B44" s="42"/>
      <c r="C44" s="11"/>
      <c r="D44" s="11"/>
      <c r="E44" s="3"/>
      <c r="F44" s="18"/>
      <c r="G44" s="9"/>
      <c r="H44" s="10"/>
      <c r="I44" s="10"/>
      <c r="J44" s="76"/>
      <c r="K44" s="2" t="str">
        <f t="shared" si="1"/>
        <v>Failed!</v>
      </c>
      <c r="L44" s="53"/>
      <c r="M44" s="80"/>
      <c r="N44" s="42"/>
      <c r="O44" s="82"/>
      <c r="P44" s="82"/>
      <c r="Q44" s="82"/>
    </row>
    <row r="45" spans="1:17" hidden="1" x14ac:dyDescent="0.35">
      <c r="A45" s="41"/>
      <c r="B45" s="42"/>
      <c r="C45" s="11"/>
      <c r="D45" s="11"/>
      <c r="E45" s="3"/>
      <c r="F45" s="18"/>
      <c r="G45" s="9"/>
      <c r="H45" s="10"/>
      <c r="I45" s="10"/>
      <c r="J45" s="76"/>
      <c r="K45" s="2" t="str">
        <f t="shared" si="1"/>
        <v>Failed!</v>
      </c>
      <c r="L45" s="53"/>
      <c r="M45" s="80"/>
      <c r="N45" s="42"/>
      <c r="O45" s="82"/>
      <c r="P45" s="82"/>
      <c r="Q45" s="82"/>
    </row>
    <row r="46" spans="1:17" hidden="1" x14ac:dyDescent="0.35">
      <c r="A46" s="41"/>
      <c r="B46" s="42"/>
      <c r="C46" s="11"/>
      <c r="D46" s="11"/>
      <c r="E46" s="3"/>
      <c r="F46" s="18"/>
      <c r="G46" s="9"/>
      <c r="H46" s="10"/>
      <c r="I46" s="10"/>
      <c r="J46" s="76"/>
      <c r="K46" s="2" t="str">
        <f t="shared" si="1"/>
        <v>Failed!</v>
      </c>
      <c r="L46" s="53"/>
      <c r="M46" s="80"/>
      <c r="N46" s="42"/>
      <c r="O46" s="82"/>
      <c r="P46" s="82"/>
      <c r="Q46" s="82"/>
    </row>
    <row r="47" spans="1:17" hidden="1" x14ac:dyDescent="0.35">
      <c r="A47" s="41"/>
      <c r="B47" s="42"/>
      <c r="C47" s="11"/>
      <c r="D47" s="11"/>
      <c r="E47" s="3"/>
      <c r="F47" s="18"/>
      <c r="G47" s="9"/>
      <c r="H47" s="10"/>
      <c r="I47" s="10"/>
      <c r="J47" s="76"/>
      <c r="K47" s="2" t="str">
        <f t="shared" si="1"/>
        <v>Failed!</v>
      </c>
      <c r="L47" s="53"/>
      <c r="M47" s="80"/>
      <c r="N47" s="42"/>
      <c r="O47" s="82"/>
      <c r="P47" s="82"/>
      <c r="Q47" s="82"/>
    </row>
    <row r="48" spans="1:17"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6</v>
      </c>
      <c r="G90" s="2" t="s">
        <v>14</v>
      </c>
      <c r="H90" s="40">
        <f>MAX(H10:H88)</f>
        <v>57.4</v>
      </c>
      <c r="I90" s="40">
        <f>MAX(I10:I88)</f>
        <v>0</v>
      </c>
      <c r="J90" s="40">
        <f>MAX(L10:L88)</f>
        <v>57.4</v>
      </c>
      <c r="M90" s="4"/>
    </row>
    <row r="91" spans="1:17" x14ac:dyDescent="0.35">
      <c r="G91" s="2" t="s">
        <v>12</v>
      </c>
      <c r="H91" s="40">
        <f>AVERAGE(H10:H88)</f>
        <v>41.9</v>
      </c>
      <c r="I91" s="40" t="e">
        <f>AVERAGE(I10:I88)</f>
        <v>#DIV/0!</v>
      </c>
      <c r="J91" s="40">
        <f>AVERAGE(L10:L88)</f>
        <v>41.9</v>
      </c>
      <c r="M91" s="4"/>
    </row>
    <row r="92" spans="1:17" x14ac:dyDescent="0.35">
      <c r="G92" s="2" t="s">
        <v>15</v>
      </c>
      <c r="H92" s="40">
        <f>MIN(H10:H88)</f>
        <v>24</v>
      </c>
      <c r="I92" s="40">
        <f>MIN(I10:I88)</f>
        <v>0</v>
      </c>
      <c r="J92" s="40">
        <f>MIN(L10:L88)</f>
        <v>24</v>
      </c>
      <c r="M92" s="4"/>
    </row>
    <row r="93" spans="1:17" x14ac:dyDescent="0.35">
      <c r="G93" s="2" t="s">
        <v>13</v>
      </c>
      <c r="H93" s="40">
        <f>STDEV(H10:H88)</f>
        <v>12.927799503395782</v>
      </c>
      <c r="I93" s="40" t="e">
        <f>STDEV(I10:I88)</f>
        <v>#DIV/0!</v>
      </c>
      <c r="J93" s="40">
        <f>STDEV(L10:L88)</f>
        <v>12.927799503395782</v>
      </c>
      <c r="M93" s="4"/>
    </row>
    <row r="94" spans="1:17" x14ac:dyDescent="0.35">
      <c r="G94" s="2" t="str">
        <f>"Failed count ( &lt; " &amp; K6 &amp; " )"</f>
        <v>Failed count ( &lt; 40 )</v>
      </c>
      <c r="H94" s="50">
        <f>COUNTIF(H10:H88, "&lt;40")</f>
        <v>2</v>
      </c>
      <c r="I94" s="50">
        <f>COUNTIF(I10:I88, "&lt;40")</f>
        <v>0</v>
      </c>
      <c r="J94" s="50">
        <f>COUNTIF(L10:L88, "&lt;40")</f>
        <v>2</v>
      </c>
      <c r="M94" s="4"/>
    </row>
    <row r="95" spans="1:17" x14ac:dyDescent="0.35">
      <c r="G95" s="2" t="s">
        <v>16</v>
      </c>
      <c r="H95" s="49">
        <f>1-H94/$F90</f>
        <v>0.66666666666666674</v>
      </c>
      <c r="I95" s="49">
        <f>1-I94/$F90</f>
        <v>1</v>
      </c>
      <c r="J95" s="49">
        <f>1-J94/$F90</f>
        <v>0.66666666666666674</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31" priority="1" operator="lessThan">
      <formula>$K$6</formula>
    </cfRule>
  </conditionalFormatting>
  <conditionalFormatting sqref="F10:I88">
    <cfRule type="expression" dxfId="30" priority="2" stopIfTrue="1">
      <formula>F10=A10</formula>
    </cfRule>
    <cfRule type="expression" dxfId="29" priority="3" stopIfTrue="1">
      <formula>F10&lt;&gt;A10</formula>
    </cfRule>
  </conditionalFormatting>
  <conditionalFormatting sqref="M10:Q15">
    <cfRule type="expression" dxfId="28" priority="4" stopIfTrue="1">
      <formula>M10=F10</formula>
    </cfRule>
    <cfRule type="expression" dxfId="2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7826"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7827"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R109"/>
  <sheetViews>
    <sheetView zoomScaleNormal="100" workbookViewId="0">
      <pane xSplit="1" ySplit="9" topLeftCell="I31" activePane="bottomRight" state="frozen"/>
      <selection activeCell="E16" sqref="E16"/>
      <selection pane="topRight" activeCell="E16" sqref="E16"/>
      <selection pane="bottomLeft" activeCell="E16" sqref="E16"/>
      <selection pane="bottomRight" activeCell="N13" sqref="N13"/>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31</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208</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209</v>
      </c>
      <c r="C5" s="14"/>
      <c r="D5" s="16"/>
      <c r="F5" s="59" t="s">
        <v>38</v>
      </c>
      <c r="L5" s="52"/>
      <c r="M5" s="47" t="s">
        <v>49</v>
      </c>
    </row>
    <row r="6" spans="1:18" x14ac:dyDescent="0.35">
      <c r="A6" s="20" t="s">
        <v>37</v>
      </c>
      <c r="B6" s="13" t="s">
        <v>68</v>
      </c>
      <c r="C6" s="14"/>
      <c r="D6" s="16"/>
      <c r="F6" s="59" t="s">
        <v>54</v>
      </c>
      <c r="J6" s="70">
        <v>35</v>
      </c>
      <c r="K6" s="70">
        <v>40</v>
      </c>
      <c r="L6" s="52"/>
      <c r="N6" s="51" t="str">
        <f>"inta305iae - bcscu.pdf"</f>
        <v>inta305iae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10447958</v>
      </c>
      <c r="B10" s="42" t="s">
        <v>210</v>
      </c>
      <c r="C10" s="11">
        <v>30</v>
      </c>
      <c r="D10" s="11" t="s">
        <v>69</v>
      </c>
      <c r="E10" s="3"/>
      <c r="F10" s="18">
        <v>10447958</v>
      </c>
      <c r="G10" s="9" t="s">
        <v>355</v>
      </c>
      <c r="H10" s="10">
        <v>30</v>
      </c>
      <c r="I10" s="10" t="s">
        <v>69</v>
      </c>
      <c r="J10" s="76">
        <v>30</v>
      </c>
      <c r="K10" s="2" t="s">
        <v>398</v>
      </c>
      <c r="L10" s="53">
        <v>30</v>
      </c>
      <c r="M10" s="80">
        <v>10447958</v>
      </c>
      <c r="N10" s="42" t="s">
        <v>497</v>
      </c>
      <c r="O10" s="82">
        <v>30</v>
      </c>
      <c r="P10" s="82" t="s">
        <v>69</v>
      </c>
      <c r="Q10" s="82">
        <v>30</v>
      </c>
      <c r="R10" s="84">
        <f t="shared" ref="R10:R40" si="0">ROUND(Q10 - ABS(J10), 2)</f>
        <v>0</v>
      </c>
    </row>
    <row r="11" spans="1:18" x14ac:dyDescent="0.35">
      <c r="A11" s="41">
        <v>10878406</v>
      </c>
      <c r="B11" s="43" t="s">
        <v>211</v>
      </c>
      <c r="C11" s="11">
        <v>70</v>
      </c>
      <c r="D11" s="11" t="s">
        <v>69</v>
      </c>
      <c r="E11" s="3"/>
      <c r="F11" s="18">
        <v>10878406</v>
      </c>
      <c r="G11" s="9" t="s">
        <v>356</v>
      </c>
      <c r="H11" s="10">
        <v>70</v>
      </c>
      <c r="I11" s="10" t="s">
        <v>69</v>
      </c>
      <c r="J11" s="76">
        <v>70</v>
      </c>
      <c r="K11" s="2" t="s">
        <v>398</v>
      </c>
      <c r="L11" s="53">
        <v>70</v>
      </c>
      <c r="M11" s="80">
        <v>10878406</v>
      </c>
      <c r="N11" s="42" t="s">
        <v>498</v>
      </c>
      <c r="O11" s="82">
        <v>70</v>
      </c>
      <c r="P11" s="82" t="s">
        <v>69</v>
      </c>
      <c r="Q11" s="82">
        <v>70</v>
      </c>
      <c r="R11" s="84">
        <f t="shared" si="0"/>
        <v>0</v>
      </c>
    </row>
    <row r="12" spans="1:18" x14ac:dyDescent="0.35">
      <c r="A12" s="41">
        <v>10674060</v>
      </c>
      <c r="B12" s="42" t="s">
        <v>212</v>
      </c>
      <c r="C12" s="11">
        <v>70</v>
      </c>
      <c r="D12" s="11" t="s">
        <v>69</v>
      </c>
      <c r="E12" s="3"/>
      <c r="F12" s="18">
        <v>10674060</v>
      </c>
      <c r="G12" s="9" t="s">
        <v>357</v>
      </c>
      <c r="H12" s="10">
        <v>70</v>
      </c>
      <c r="I12" s="10" t="s">
        <v>69</v>
      </c>
      <c r="J12" s="76">
        <v>70</v>
      </c>
      <c r="K12" s="2" t="s">
        <v>398</v>
      </c>
      <c r="L12" s="53">
        <v>70</v>
      </c>
      <c r="M12" s="80">
        <v>10674060</v>
      </c>
      <c r="N12" s="42" t="s">
        <v>504</v>
      </c>
      <c r="O12" s="82">
        <v>70</v>
      </c>
      <c r="P12" s="82" t="s">
        <v>69</v>
      </c>
      <c r="Q12" s="82">
        <v>70</v>
      </c>
      <c r="R12" s="84">
        <f t="shared" si="0"/>
        <v>0</v>
      </c>
    </row>
    <row r="13" spans="1:18" x14ac:dyDescent="0.35">
      <c r="A13" s="41">
        <v>10674026</v>
      </c>
      <c r="B13" s="42" t="s">
        <v>192</v>
      </c>
      <c r="C13" s="11">
        <v>25</v>
      </c>
      <c r="D13" s="11" t="s">
        <v>69</v>
      </c>
      <c r="E13" s="3"/>
      <c r="F13" s="18">
        <v>10674026</v>
      </c>
      <c r="G13" s="9" t="s">
        <v>358</v>
      </c>
      <c r="H13" s="10">
        <v>25</v>
      </c>
      <c r="I13" s="10" t="s">
        <v>69</v>
      </c>
      <c r="J13" s="76">
        <v>25</v>
      </c>
      <c r="K13" s="2" t="s">
        <v>398</v>
      </c>
      <c r="L13" s="53">
        <v>25</v>
      </c>
      <c r="M13" s="80">
        <v>10674026</v>
      </c>
      <c r="N13" s="42" t="s">
        <v>480</v>
      </c>
      <c r="O13" s="82">
        <v>25</v>
      </c>
      <c r="P13" s="82" t="s">
        <v>69</v>
      </c>
      <c r="Q13" s="82">
        <v>25</v>
      </c>
      <c r="R13" s="84">
        <f t="shared" si="0"/>
        <v>0</v>
      </c>
    </row>
    <row r="14" spans="1:18" x14ac:dyDescent="0.35">
      <c r="A14" s="41">
        <v>10674048</v>
      </c>
      <c r="B14" s="42" t="s">
        <v>213</v>
      </c>
      <c r="C14" s="11">
        <v>72</v>
      </c>
      <c r="D14" s="11" t="s">
        <v>69</v>
      </c>
      <c r="E14" s="3"/>
      <c r="F14" s="18">
        <v>10674048</v>
      </c>
      <c r="G14" s="9" t="s">
        <v>359</v>
      </c>
      <c r="H14" s="10">
        <v>72</v>
      </c>
      <c r="I14" s="10" t="s">
        <v>69</v>
      </c>
      <c r="J14" s="76">
        <v>72</v>
      </c>
      <c r="K14" s="2" t="s">
        <v>398</v>
      </c>
      <c r="L14" s="53">
        <v>72</v>
      </c>
      <c r="M14" s="80">
        <v>10674048</v>
      </c>
      <c r="N14" s="42" t="s">
        <v>499</v>
      </c>
      <c r="O14" s="82">
        <v>72</v>
      </c>
      <c r="P14" s="82" t="s">
        <v>69</v>
      </c>
      <c r="Q14" s="82">
        <v>72</v>
      </c>
      <c r="R14" s="84">
        <f t="shared" si="0"/>
        <v>0</v>
      </c>
    </row>
    <row r="15" spans="1:18" x14ac:dyDescent="0.35">
      <c r="A15" s="41">
        <v>10674037</v>
      </c>
      <c r="B15" s="42" t="s">
        <v>214</v>
      </c>
      <c r="C15" s="11">
        <v>40</v>
      </c>
      <c r="D15" s="11" t="s">
        <v>69</v>
      </c>
      <c r="E15" s="3"/>
      <c r="F15" s="18">
        <v>10674037</v>
      </c>
      <c r="G15" s="9" t="s">
        <v>360</v>
      </c>
      <c r="H15" s="10">
        <v>40</v>
      </c>
      <c r="I15" s="10" t="s">
        <v>69</v>
      </c>
      <c r="J15" s="76">
        <v>40</v>
      </c>
      <c r="K15" s="2" t="s">
        <v>398</v>
      </c>
      <c r="L15" s="53">
        <v>40</v>
      </c>
      <c r="M15" s="80">
        <v>10674037</v>
      </c>
      <c r="N15" s="42" t="s">
        <v>500</v>
      </c>
      <c r="O15" s="82">
        <v>40</v>
      </c>
      <c r="P15" s="82" t="s">
        <v>69</v>
      </c>
      <c r="Q15" s="82">
        <v>40</v>
      </c>
      <c r="R15" s="84">
        <f t="shared" si="0"/>
        <v>0</v>
      </c>
    </row>
    <row r="16" spans="1:18" x14ac:dyDescent="0.35">
      <c r="A16" s="41">
        <v>10878691</v>
      </c>
      <c r="B16" s="42" t="s">
        <v>215</v>
      </c>
      <c r="C16" s="11">
        <v>64</v>
      </c>
      <c r="D16" s="11" t="s">
        <v>69</v>
      </c>
      <c r="E16" s="3"/>
      <c r="F16" s="18">
        <v>10878691</v>
      </c>
      <c r="G16" s="9" t="s">
        <v>361</v>
      </c>
      <c r="H16" s="10">
        <v>64</v>
      </c>
      <c r="I16" s="10" t="s">
        <v>69</v>
      </c>
      <c r="J16" s="76">
        <v>64</v>
      </c>
      <c r="K16" s="2" t="s">
        <v>398</v>
      </c>
      <c r="L16" s="53">
        <v>64</v>
      </c>
      <c r="M16" s="80">
        <v>10878691</v>
      </c>
      <c r="N16" s="42" t="s">
        <v>501</v>
      </c>
      <c r="O16" s="82">
        <v>64</v>
      </c>
      <c r="P16" s="82" t="s">
        <v>69</v>
      </c>
      <c r="Q16" s="82">
        <v>64</v>
      </c>
      <c r="R16" s="84">
        <f t="shared" si="0"/>
        <v>0</v>
      </c>
    </row>
    <row r="17" spans="1:18" x14ac:dyDescent="0.35">
      <c r="A17" s="41">
        <v>10447969</v>
      </c>
      <c r="B17" s="42" t="s">
        <v>216</v>
      </c>
      <c r="C17" s="11">
        <v>54</v>
      </c>
      <c r="D17" s="11" t="s">
        <v>69</v>
      </c>
      <c r="E17" s="3"/>
      <c r="F17" s="18">
        <v>10447969</v>
      </c>
      <c r="G17" s="9" t="s">
        <v>362</v>
      </c>
      <c r="H17" s="10">
        <v>54</v>
      </c>
      <c r="I17" s="10" t="s">
        <v>69</v>
      </c>
      <c r="J17" s="76">
        <v>54</v>
      </c>
      <c r="K17" s="2" t="s">
        <v>398</v>
      </c>
      <c r="L17" s="53">
        <v>54</v>
      </c>
      <c r="M17" s="80">
        <v>10447969</v>
      </c>
      <c r="N17" s="42" t="s">
        <v>502</v>
      </c>
      <c r="O17" s="82">
        <v>54</v>
      </c>
      <c r="P17" s="82" t="s">
        <v>69</v>
      </c>
      <c r="Q17" s="82">
        <v>54</v>
      </c>
      <c r="R17" s="84">
        <f t="shared" si="0"/>
        <v>0</v>
      </c>
    </row>
    <row r="18" spans="1:18" x14ac:dyDescent="0.35">
      <c r="A18" s="41">
        <v>10878716</v>
      </c>
      <c r="B18" s="42" t="s">
        <v>217</v>
      </c>
      <c r="C18" s="11">
        <v>40</v>
      </c>
      <c r="D18" s="11" t="s">
        <v>69</v>
      </c>
      <c r="E18" s="3"/>
      <c r="F18" s="18">
        <v>10878716</v>
      </c>
      <c r="G18" s="9" t="s">
        <v>363</v>
      </c>
      <c r="H18" s="10">
        <v>40</v>
      </c>
      <c r="I18" s="10" t="s">
        <v>69</v>
      </c>
      <c r="J18" s="76">
        <v>40</v>
      </c>
      <c r="K18" s="2" t="s">
        <v>398</v>
      </c>
      <c r="L18" s="53">
        <v>40</v>
      </c>
      <c r="M18" s="80">
        <v>10878716</v>
      </c>
      <c r="N18" s="42" t="s">
        <v>515</v>
      </c>
      <c r="O18" s="82">
        <v>40</v>
      </c>
      <c r="P18" s="82" t="s">
        <v>69</v>
      </c>
      <c r="Q18" s="82">
        <v>40</v>
      </c>
      <c r="R18" s="84">
        <f t="shared" si="0"/>
        <v>0</v>
      </c>
    </row>
    <row r="19" spans="1:18" x14ac:dyDescent="0.35">
      <c r="A19" s="41">
        <v>10674451</v>
      </c>
      <c r="B19" s="42" t="s">
        <v>99</v>
      </c>
      <c r="C19" s="11">
        <v>65</v>
      </c>
      <c r="D19" s="11" t="s">
        <v>69</v>
      </c>
      <c r="E19" s="3"/>
      <c r="F19" s="18">
        <v>10674451</v>
      </c>
      <c r="G19" s="9" t="s">
        <v>262</v>
      </c>
      <c r="H19" s="10">
        <v>65</v>
      </c>
      <c r="I19" s="10" t="s">
        <v>69</v>
      </c>
      <c r="J19" s="76">
        <v>65</v>
      </c>
      <c r="K19" s="2" t="s">
        <v>398</v>
      </c>
      <c r="L19" s="53">
        <v>65</v>
      </c>
      <c r="M19" s="80">
        <v>10674451</v>
      </c>
      <c r="N19" s="42" t="s">
        <v>441</v>
      </c>
      <c r="O19" s="82">
        <v>65</v>
      </c>
      <c r="P19" s="82" t="s">
        <v>69</v>
      </c>
      <c r="Q19" s="82">
        <v>65</v>
      </c>
      <c r="R19" s="84">
        <f t="shared" si="0"/>
        <v>0</v>
      </c>
    </row>
    <row r="20" spans="1:18" x14ac:dyDescent="0.35">
      <c r="A20" s="41">
        <v>10878727</v>
      </c>
      <c r="B20" s="42" t="s">
        <v>218</v>
      </c>
      <c r="C20" s="11">
        <v>70</v>
      </c>
      <c r="D20" s="11" t="s">
        <v>69</v>
      </c>
      <c r="E20" s="3"/>
      <c r="F20" s="18">
        <v>10878727</v>
      </c>
      <c r="G20" s="9" t="s">
        <v>364</v>
      </c>
      <c r="H20" s="10">
        <v>70</v>
      </c>
      <c r="I20" s="10" t="s">
        <v>69</v>
      </c>
      <c r="J20" s="76">
        <v>70</v>
      </c>
      <c r="K20" s="2" t="s">
        <v>398</v>
      </c>
      <c r="L20" s="53">
        <v>70</v>
      </c>
      <c r="M20" s="80">
        <v>10878727</v>
      </c>
      <c r="N20" s="42" t="s">
        <v>503</v>
      </c>
      <c r="O20" s="82">
        <v>70</v>
      </c>
      <c r="P20" s="82" t="s">
        <v>69</v>
      </c>
      <c r="Q20" s="82">
        <v>70</v>
      </c>
      <c r="R20" s="84">
        <f t="shared" si="0"/>
        <v>0</v>
      </c>
    </row>
    <row r="21" spans="1:18" x14ac:dyDescent="0.35">
      <c r="A21" s="41">
        <v>10674093</v>
      </c>
      <c r="B21" s="42" t="s">
        <v>219</v>
      </c>
      <c r="C21" s="11">
        <v>84</v>
      </c>
      <c r="D21" s="11" t="s">
        <v>69</v>
      </c>
      <c r="E21" s="3"/>
      <c r="F21" s="18">
        <v>10674093</v>
      </c>
      <c r="G21" s="9" t="s">
        <v>365</v>
      </c>
      <c r="H21" s="10">
        <v>84</v>
      </c>
      <c r="I21" s="10" t="s">
        <v>69</v>
      </c>
      <c r="J21" s="76">
        <v>84</v>
      </c>
      <c r="K21" s="2" t="s">
        <v>398</v>
      </c>
      <c r="L21" s="53">
        <v>84</v>
      </c>
      <c r="M21" s="80">
        <v>10674093</v>
      </c>
      <c r="N21" s="42" t="s">
        <v>505</v>
      </c>
      <c r="O21" s="82">
        <v>84</v>
      </c>
      <c r="P21" s="82" t="s">
        <v>69</v>
      </c>
      <c r="Q21" s="82">
        <v>84</v>
      </c>
      <c r="R21" s="84">
        <f t="shared" si="0"/>
        <v>0</v>
      </c>
    </row>
    <row r="22" spans="1:18" x14ac:dyDescent="0.35">
      <c r="A22" s="41">
        <v>10878738</v>
      </c>
      <c r="B22" s="42" t="s">
        <v>220</v>
      </c>
      <c r="C22" s="11">
        <v>40</v>
      </c>
      <c r="D22" s="11" t="s">
        <v>69</v>
      </c>
      <c r="E22" s="3"/>
      <c r="F22" s="18">
        <v>10878738</v>
      </c>
      <c r="G22" s="9" t="s">
        <v>366</v>
      </c>
      <c r="H22" s="10">
        <v>40</v>
      </c>
      <c r="I22" s="10" t="s">
        <v>69</v>
      </c>
      <c r="J22" s="76">
        <v>40</v>
      </c>
      <c r="K22" s="2" t="s">
        <v>398</v>
      </c>
      <c r="L22" s="53">
        <v>40</v>
      </c>
      <c r="M22" s="80">
        <v>10878738</v>
      </c>
      <c r="N22" s="42" t="s">
        <v>506</v>
      </c>
      <c r="O22" s="82">
        <v>40</v>
      </c>
      <c r="P22" s="82" t="s">
        <v>69</v>
      </c>
      <c r="Q22" s="82">
        <v>40</v>
      </c>
      <c r="R22" s="84">
        <f t="shared" si="0"/>
        <v>0</v>
      </c>
    </row>
    <row r="23" spans="1:18" x14ac:dyDescent="0.35">
      <c r="A23" s="41">
        <v>10878761</v>
      </c>
      <c r="B23" s="42" t="s">
        <v>221</v>
      </c>
      <c r="C23" s="11">
        <v>52</v>
      </c>
      <c r="D23" s="11" t="s">
        <v>69</v>
      </c>
      <c r="E23" s="3"/>
      <c r="F23" s="18">
        <v>10878761</v>
      </c>
      <c r="G23" s="9" t="s">
        <v>367</v>
      </c>
      <c r="H23" s="10">
        <v>52</v>
      </c>
      <c r="I23" s="10" t="s">
        <v>69</v>
      </c>
      <c r="J23" s="76">
        <v>52</v>
      </c>
      <c r="K23" s="2" t="s">
        <v>398</v>
      </c>
      <c r="L23" s="53">
        <v>52</v>
      </c>
      <c r="M23" s="80">
        <v>10878761</v>
      </c>
      <c r="N23" s="42" t="s">
        <v>507</v>
      </c>
      <c r="O23" s="82">
        <v>52</v>
      </c>
      <c r="P23" s="82" t="s">
        <v>69</v>
      </c>
      <c r="Q23" s="82">
        <v>52</v>
      </c>
      <c r="R23" s="84">
        <f t="shared" si="0"/>
        <v>0</v>
      </c>
    </row>
    <row r="24" spans="1:18" x14ac:dyDescent="0.35">
      <c r="A24" s="41">
        <v>10448298</v>
      </c>
      <c r="B24" s="42" t="s">
        <v>222</v>
      </c>
      <c r="C24" s="11">
        <v>30</v>
      </c>
      <c r="D24" s="11" t="s">
        <v>69</v>
      </c>
      <c r="E24" s="3"/>
      <c r="F24" s="18">
        <v>10448298</v>
      </c>
      <c r="G24" s="9" t="s">
        <v>368</v>
      </c>
      <c r="H24" s="10">
        <v>30</v>
      </c>
      <c r="I24" s="10" t="s">
        <v>69</v>
      </c>
      <c r="J24" s="76">
        <v>30</v>
      </c>
      <c r="K24" s="2" t="s">
        <v>398</v>
      </c>
      <c r="L24" s="53">
        <v>30</v>
      </c>
      <c r="M24" s="80">
        <v>10448298</v>
      </c>
      <c r="N24" s="42" t="s">
        <v>508</v>
      </c>
      <c r="O24" s="82">
        <v>30</v>
      </c>
      <c r="P24" s="82" t="s">
        <v>69</v>
      </c>
      <c r="Q24" s="82">
        <v>30</v>
      </c>
      <c r="R24" s="84">
        <f t="shared" si="0"/>
        <v>0</v>
      </c>
    </row>
    <row r="25" spans="1:18" x14ac:dyDescent="0.35">
      <c r="A25" s="41">
        <v>10674107</v>
      </c>
      <c r="B25" s="42" t="s">
        <v>146</v>
      </c>
      <c r="C25" s="11">
        <v>15</v>
      </c>
      <c r="D25" s="11" t="s">
        <v>69</v>
      </c>
      <c r="E25" s="3"/>
      <c r="F25" s="18">
        <v>10674107</v>
      </c>
      <c r="G25" s="9" t="s">
        <v>313</v>
      </c>
      <c r="H25" s="10">
        <v>15</v>
      </c>
      <c r="I25" s="10" t="s">
        <v>69</v>
      </c>
      <c r="J25" s="76">
        <v>15</v>
      </c>
      <c r="K25" s="2" t="s">
        <v>398</v>
      </c>
      <c r="L25" s="53">
        <v>15</v>
      </c>
      <c r="M25" s="80">
        <v>10674107</v>
      </c>
      <c r="N25" s="42" t="s">
        <v>443</v>
      </c>
      <c r="O25" s="82">
        <v>15</v>
      </c>
      <c r="P25" s="82" t="s">
        <v>69</v>
      </c>
      <c r="Q25" s="82">
        <v>15</v>
      </c>
      <c r="R25" s="84">
        <f t="shared" si="0"/>
        <v>0</v>
      </c>
    </row>
    <row r="26" spans="1:18" x14ac:dyDescent="0.35">
      <c r="A26" s="41">
        <v>10674118</v>
      </c>
      <c r="B26" s="42" t="s">
        <v>223</v>
      </c>
      <c r="C26" s="11">
        <v>66</v>
      </c>
      <c r="D26" s="11" t="s">
        <v>69</v>
      </c>
      <c r="E26" s="3"/>
      <c r="F26" s="18">
        <v>10674118</v>
      </c>
      <c r="G26" s="9" t="s">
        <v>369</v>
      </c>
      <c r="H26" s="10">
        <v>66</v>
      </c>
      <c r="I26" s="10" t="s">
        <v>69</v>
      </c>
      <c r="J26" s="76">
        <v>66</v>
      </c>
      <c r="K26" s="2" t="s">
        <v>398</v>
      </c>
      <c r="L26" s="53">
        <v>66</v>
      </c>
      <c r="M26" s="80">
        <v>10674118</v>
      </c>
      <c r="N26" s="42" t="s">
        <v>509</v>
      </c>
      <c r="O26" s="82">
        <v>66</v>
      </c>
      <c r="P26" s="82" t="s">
        <v>69</v>
      </c>
      <c r="Q26" s="82">
        <v>66</v>
      </c>
      <c r="R26" s="84">
        <f t="shared" si="0"/>
        <v>0</v>
      </c>
    </row>
    <row r="27" spans="1:18" x14ac:dyDescent="0.35">
      <c r="A27" s="41">
        <v>10674141</v>
      </c>
      <c r="B27" s="42" t="s">
        <v>224</v>
      </c>
      <c r="C27" s="11">
        <v>40</v>
      </c>
      <c r="D27" s="11" t="s">
        <v>69</v>
      </c>
      <c r="E27" s="3"/>
      <c r="F27" s="18">
        <v>10674141</v>
      </c>
      <c r="G27" s="9" t="s">
        <v>370</v>
      </c>
      <c r="H27" s="10">
        <v>40</v>
      </c>
      <c r="I27" s="10" t="s">
        <v>69</v>
      </c>
      <c r="J27" s="76">
        <v>40</v>
      </c>
      <c r="K27" s="2" t="s">
        <v>398</v>
      </c>
      <c r="L27" s="53">
        <v>40</v>
      </c>
      <c r="M27" s="80">
        <v>10674141</v>
      </c>
      <c r="N27" s="42" t="s">
        <v>510</v>
      </c>
      <c r="O27" s="82">
        <v>40</v>
      </c>
      <c r="P27" s="82" t="s">
        <v>69</v>
      </c>
      <c r="Q27" s="82">
        <v>40</v>
      </c>
      <c r="R27" s="84">
        <f t="shared" si="0"/>
        <v>0</v>
      </c>
    </row>
    <row r="28" spans="1:18" x14ac:dyDescent="0.35">
      <c r="A28" s="41">
        <v>10878772</v>
      </c>
      <c r="B28" s="42" t="s">
        <v>225</v>
      </c>
      <c r="C28" s="11">
        <v>74</v>
      </c>
      <c r="D28" s="11" t="s">
        <v>69</v>
      </c>
      <c r="E28" s="3"/>
      <c r="F28" s="18">
        <v>10878772</v>
      </c>
      <c r="G28" s="9" t="s">
        <v>371</v>
      </c>
      <c r="H28" s="10">
        <v>74</v>
      </c>
      <c r="I28" s="10" t="s">
        <v>69</v>
      </c>
      <c r="J28" s="76">
        <v>74</v>
      </c>
      <c r="K28" s="2" t="s">
        <v>398</v>
      </c>
      <c r="L28" s="53">
        <v>74</v>
      </c>
      <c r="M28" s="80">
        <v>10878772</v>
      </c>
      <c r="N28" s="42" t="s">
        <v>511</v>
      </c>
      <c r="O28" s="82">
        <v>74</v>
      </c>
      <c r="P28" s="82" t="s">
        <v>69</v>
      </c>
      <c r="Q28" s="82">
        <v>74</v>
      </c>
      <c r="R28" s="84">
        <f t="shared" si="0"/>
        <v>0</v>
      </c>
    </row>
    <row r="29" spans="1:18" x14ac:dyDescent="0.35">
      <c r="A29" s="41">
        <v>10448047</v>
      </c>
      <c r="B29" s="42" t="s">
        <v>226</v>
      </c>
      <c r="C29" s="11">
        <v>30</v>
      </c>
      <c r="D29" s="11" t="s">
        <v>69</v>
      </c>
      <c r="E29" s="3"/>
      <c r="F29" s="18">
        <v>10448047</v>
      </c>
      <c r="G29" s="9" t="s">
        <v>372</v>
      </c>
      <c r="H29" s="10">
        <v>30</v>
      </c>
      <c r="I29" s="10" t="s">
        <v>69</v>
      </c>
      <c r="J29" s="76">
        <v>30</v>
      </c>
      <c r="K29" s="2" t="s">
        <v>398</v>
      </c>
      <c r="L29" s="53">
        <v>30</v>
      </c>
      <c r="M29" s="80">
        <v>10448047</v>
      </c>
      <c r="N29" s="42" t="s">
        <v>512</v>
      </c>
      <c r="O29" s="82">
        <v>30</v>
      </c>
      <c r="P29" s="82" t="s">
        <v>69</v>
      </c>
      <c r="Q29" s="82">
        <v>30</v>
      </c>
      <c r="R29" s="84">
        <f t="shared" si="0"/>
        <v>0</v>
      </c>
    </row>
    <row r="30" spans="1:18" x14ac:dyDescent="0.35">
      <c r="A30" s="41">
        <v>10674185</v>
      </c>
      <c r="B30" s="42" t="s">
        <v>196</v>
      </c>
      <c r="C30" s="11">
        <v>76</v>
      </c>
      <c r="D30" s="11" t="s">
        <v>69</v>
      </c>
      <c r="E30" s="3"/>
      <c r="F30" s="18">
        <v>10674185</v>
      </c>
      <c r="G30" s="9" t="s">
        <v>373</v>
      </c>
      <c r="H30" s="10">
        <v>76</v>
      </c>
      <c r="I30" s="10" t="s">
        <v>69</v>
      </c>
      <c r="J30" s="76">
        <v>76</v>
      </c>
      <c r="K30" s="2" t="s">
        <v>398</v>
      </c>
      <c r="L30" s="53">
        <v>76</v>
      </c>
      <c r="M30" s="80">
        <v>10674185</v>
      </c>
      <c r="N30" s="42" t="s">
        <v>484</v>
      </c>
      <c r="O30" s="82">
        <v>76</v>
      </c>
      <c r="P30" s="82" t="s">
        <v>69</v>
      </c>
      <c r="Q30" s="82">
        <v>76</v>
      </c>
      <c r="R30" s="84">
        <f t="shared" si="0"/>
        <v>0</v>
      </c>
    </row>
    <row r="31" spans="1:18" x14ac:dyDescent="0.35">
      <c r="A31" s="41">
        <v>10448003</v>
      </c>
      <c r="B31" s="42" t="s">
        <v>227</v>
      </c>
      <c r="C31" s="11">
        <v>30</v>
      </c>
      <c r="D31" s="11" t="s">
        <v>69</v>
      </c>
      <c r="E31" s="3"/>
      <c r="F31" s="18">
        <v>10448003</v>
      </c>
      <c r="G31" s="9" t="s">
        <v>374</v>
      </c>
      <c r="H31" s="10">
        <v>30</v>
      </c>
      <c r="I31" s="10" t="s">
        <v>69</v>
      </c>
      <c r="J31" s="76">
        <v>30</v>
      </c>
      <c r="K31" s="2" t="s">
        <v>398</v>
      </c>
      <c r="L31" s="53">
        <v>30</v>
      </c>
      <c r="M31" s="80">
        <v>10448003</v>
      </c>
      <c r="N31" s="42" t="s">
        <v>513</v>
      </c>
      <c r="O31" s="82">
        <v>30</v>
      </c>
      <c r="P31" s="82" t="s">
        <v>69</v>
      </c>
      <c r="Q31" s="82">
        <v>30</v>
      </c>
      <c r="R31" s="84">
        <f t="shared" si="0"/>
        <v>0</v>
      </c>
    </row>
    <row r="32" spans="1:18" x14ac:dyDescent="0.35">
      <c r="A32" s="41">
        <v>10674211</v>
      </c>
      <c r="B32" s="42" t="s">
        <v>228</v>
      </c>
      <c r="C32" s="11">
        <v>72</v>
      </c>
      <c r="D32" s="11" t="s">
        <v>69</v>
      </c>
      <c r="E32" s="3"/>
      <c r="F32" s="18">
        <v>10674211</v>
      </c>
      <c r="G32" s="9" t="s">
        <v>375</v>
      </c>
      <c r="H32" s="10">
        <v>72</v>
      </c>
      <c r="I32" s="10" t="s">
        <v>69</v>
      </c>
      <c r="J32" s="76">
        <v>72</v>
      </c>
      <c r="K32" s="2" t="s">
        <v>398</v>
      </c>
      <c r="L32" s="53">
        <v>72</v>
      </c>
      <c r="M32" s="80">
        <v>10674211</v>
      </c>
      <c r="N32" s="42" t="s">
        <v>514</v>
      </c>
      <c r="O32" s="82">
        <v>72</v>
      </c>
      <c r="P32" s="82" t="s">
        <v>69</v>
      </c>
      <c r="Q32" s="82">
        <v>72</v>
      </c>
      <c r="R32" s="84">
        <f t="shared" si="0"/>
        <v>0</v>
      </c>
    </row>
    <row r="33" spans="1:18" x14ac:dyDescent="0.35">
      <c r="A33" s="41">
        <v>10447992</v>
      </c>
      <c r="B33" s="42" t="s">
        <v>199</v>
      </c>
      <c r="C33" s="11">
        <v>28</v>
      </c>
      <c r="D33" s="11" t="s">
        <v>69</v>
      </c>
      <c r="E33" s="3"/>
      <c r="F33" s="18">
        <v>10447992</v>
      </c>
      <c r="G33" s="9" t="s">
        <v>376</v>
      </c>
      <c r="H33" s="10">
        <v>28</v>
      </c>
      <c r="I33" s="10" t="s">
        <v>69</v>
      </c>
      <c r="J33" s="76">
        <v>28</v>
      </c>
      <c r="K33" s="2" t="s">
        <v>398</v>
      </c>
      <c r="L33" s="53">
        <v>28</v>
      </c>
      <c r="M33" s="80">
        <v>10447992</v>
      </c>
      <c r="N33" s="42" t="s">
        <v>485</v>
      </c>
      <c r="O33" s="82">
        <v>28</v>
      </c>
      <c r="P33" s="82" t="s">
        <v>69</v>
      </c>
      <c r="Q33" s="82">
        <v>28</v>
      </c>
      <c r="R33" s="84">
        <f t="shared" si="0"/>
        <v>0</v>
      </c>
    </row>
    <row r="34" spans="1:18" x14ac:dyDescent="0.35">
      <c r="A34" s="41">
        <v>10674417</v>
      </c>
      <c r="B34" s="42" t="s">
        <v>229</v>
      </c>
      <c r="C34" s="11">
        <v>82</v>
      </c>
      <c r="D34" s="11" t="s">
        <v>69</v>
      </c>
      <c r="E34" s="3"/>
      <c r="F34" s="18">
        <v>10674417</v>
      </c>
      <c r="G34" s="9" t="s">
        <v>377</v>
      </c>
      <c r="H34" s="10">
        <v>82</v>
      </c>
      <c r="I34" s="10" t="s">
        <v>69</v>
      </c>
      <c r="J34" s="76">
        <v>82</v>
      </c>
      <c r="K34" s="2" t="s">
        <v>398</v>
      </c>
      <c r="L34" s="53">
        <v>82</v>
      </c>
      <c r="M34" s="80">
        <v>10674417</v>
      </c>
      <c r="N34" s="42" t="s">
        <v>517</v>
      </c>
      <c r="O34" s="82">
        <v>82</v>
      </c>
      <c r="P34" s="82" t="s">
        <v>69</v>
      </c>
      <c r="Q34" s="82">
        <v>82</v>
      </c>
      <c r="R34" s="84">
        <f t="shared" si="0"/>
        <v>0</v>
      </c>
    </row>
    <row r="35" spans="1:18" x14ac:dyDescent="0.35">
      <c r="A35" s="41">
        <v>10674392</v>
      </c>
      <c r="B35" s="42" t="s">
        <v>230</v>
      </c>
      <c r="C35" s="11">
        <v>72</v>
      </c>
      <c r="D35" s="11" t="s">
        <v>69</v>
      </c>
      <c r="E35" s="3"/>
      <c r="F35" s="18">
        <v>10674392</v>
      </c>
      <c r="G35" s="9" t="s">
        <v>378</v>
      </c>
      <c r="H35" s="10">
        <v>72</v>
      </c>
      <c r="I35" s="10" t="s">
        <v>69</v>
      </c>
      <c r="J35" s="76">
        <v>72</v>
      </c>
      <c r="K35" s="2" t="s">
        <v>398</v>
      </c>
      <c r="L35" s="53">
        <v>72</v>
      </c>
      <c r="M35" s="80">
        <v>10674392</v>
      </c>
      <c r="N35" s="42" t="s">
        <v>518</v>
      </c>
      <c r="O35" s="82">
        <v>72</v>
      </c>
      <c r="P35" s="82" t="s">
        <v>69</v>
      </c>
      <c r="Q35" s="82">
        <v>72</v>
      </c>
      <c r="R35" s="84">
        <f t="shared" si="0"/>
        <v>0</v>
      </c>
    </row>
    <row r="36" spans="1:18" x14ac:dyDescent="0.35">
      <c r="A36" s="41">
        <v>10674369</v>
      </c>
      <c r="B36" s="42" t="s">
        <v>201</v>
      </c>
      <c r="C36" s="11">
        <v>82</v>
      </c>
      <c r="D36" s="11" t="s">
        <v>69</v>
      </c>
      <c r="E36" s="3"/>
      <c r="F36" s="18">
        <v>10674369</v>
      </c>
      <c r="G36" s="9" t="s">
        <v>379</v>
      </c>
      <c r="H36" s="10">
        <v>82</v>
      </c>
      <c r="I36" s="10" t="s">
        <v>69</v>
      </c>
      <c r="J36" s="76">
        <v>82</v>
      </c>
      <c r="K36" s="2" t="s">
        <v>398</v>
      </c>
      <c r="L36" s="53">
        <v>82</v>
      </c>
      <c r="M36" s="80">
        <v>10674369</v>
      </c>
      <c r="N36" s="42" t="s">
        <v>490</v>
      </c>
      <c r="O36" s="82">
        <v>82</v>
      </c>
      <c r="P36" s="82" t="s">
        <v>69</v>
      </c>
      <c r="Q36" s="82">
        <v>82</v>
      </c>
      <c r="R36" s="84">
        <f t="shared" si="0"/>
        <v>0</v>
      </c>
    </row>
    <row r="37" spans="1:18" x14ac:dyDescent="0.35">
      <c r="A37" s="41">
        <v>10674347</v>
      </c>
      <c r="B37" s="42" t="s">
        <v>202</v>
      </c>
      <c r="C37" s="11">
        <v>60</v>
      </c>
      <c r="D37" s="11" t="s">
        <v>69</v>
      </c>
      <c r="E37" s="3"/>
      <c r="F37" s="18">
        <v>10674347</v>
      </c>
      <c r="G37" s="9" t="s">
        <v>380</v>
      </c>
      <c r="H37" s="10">
        <v>60</v>
      </c>
      <c r="I37" s="10" t="s">
        <v>69</v>
      </c>
      <c r="J37" s="76">
        <v>60</v>
      </c>
      <c r="K37" s="2" t="s">
        <v>398</v>
      </c>
      <c r="L37" s="53">
        <v>60</v>
      </c>
      <c r="M37" s="80">
        <v>10674347</v>
      </c>
      <c r="N37" s="42" t="s">
        <v>491</v>
      </c>
      <c r="O37" s="82">
        <v>60</v>
      </c>
      <c r="P37" s="82" t="s">
        <v>69</v>
      </c>
      <c r="Q37" s="82">
        <v>60</v>
      </c>
      <c r="R37" s="84">
        <f t="shared" si="0"/>
        <v>0</v>
      </c>
    </row>
    <row r="38" spans="1:18" x14ac:dyDescent="0.35">
      <c r="A38" s="41">
        <v>10674440</v>
      </c>
      <c r="B38" s="42" t="s">
        <v>231</v>
      </c>
      <c r="C38" s="11">
        <v>45</v>
      </c>
      <c r="D38" s="11" t="s">
        <v>69</v>
      </c>
      <c r="E38" s="3"/>
      <c r="F38" s="18">
        <v>10674440</v>
      </c>
      <c r="G38" s="9" t="s">
        <v>381</v>
      </c>
      <c r="H38" s="10">
        <v>45</v>
      </c>
      <c r="I38" s="10" t="s">
        <v>69</v>
      </c>
      <c r="J38" s="76">
        <v>45</v>
      </c>
      <c r="K38" s="2" t="s">
        <v>398</v>
      </c>
      <c r="L38" s="53">
        <v>45</v>
      </c>
      <c r="M38" s="80">
        <v>10674440</v>
      </c>
      <c r="N38" s="42" t="s">
        <v>519</v>
      </c>
      <c r="O38" s="82">
        <v>45</v>
      </c>
      <c r="P38" s="82" t="s">
        <v>69</v>
      </c>
      <c r="Q38" s="82">
        <v>45</v>
      </c>
      <c r="R38" s="84">
        <f t="shared" si="0"/>
        <v>0</v>
      </c>
    </row>
    <row r="39" spans="1:18" x14ac:dyDescent="0.35">
      <c r="A39" s="41">
        <v>10878886</v>
      </c>
      <c r="B39" s="42" t="s">
        <v>232</v>
      </c>
      <c r="C39" s="11">
        <v>65</v>
      </c>
      <c r="D39" s="11" t="s">
        <v>69</v>
      </c>
      <c r="E39" s="3"/>
      <c r="F39" s="18">
        <v>10878886</v>
      </c>
      <c r="G39" s="9" t="s">
        <v>382</v>
      </c>
      <c r="H39" s="10">
        <v>65</v>
      </c>
      <c r="I39" s="10" t="s">
        <v>69</v>
      </c>
      <c r="J39" s="76">
        <v>65</v>
      </c>
      <c r="K39" s="2" t="s">
        <v>398</v>
      </c>
      <c r="L39" s="53">
        <v>65</v>
      </c>
      <c r="M39" s="80">
        <v>10878886</v>
      </c>
      <c r="N39" s="42" t="s">
        <v>520</v>
      </c>
      <c r="O39" s="82">
        <v>65</v>
      </c>
      <c r="P39" s="82" t="s">
        <v>69</v>
      </c>
      <c r="Q39" s="82">
        <v>65</v>
      </c>
      <c r="R39" s="84">
        <f t="shared" si="0"/>
        <v>0</v>
      </c>
    </row>
    <row r="40" spans="1:18" x14ac:dyDescent="0.35">
      <c r="A40" s="41">
        <v>10674277</v>
      </c>
      <c r="B40" s="42" t="s">
        <v>233</v>
      </c>
      <c r="C40" s="11">
        <v>40</v>
      </c>
      <c r="D40" s="11" t="s">
        <v>69</v>
      </c>
      <c r="E40" s="3"/>
      <c r="F40" s="18">
        <v>10674277</v>
      </c>
      <c r="G40" s="9" t="s">
        <v>383</v>
      </c>
      <c r="H40" s="10">
        <v>40</v>
      </c>
      <c r="I40" s="10" t="s">
        <v>69</v>
      </c>
      <c r="J40" s="76">
        <v>40</v>
      </c>
      <c r="K40" s="2" t="s">
        <v>398</v>
      </c>
      <c r="L40" s="53">
        <v>40</v>
      </c>
      <c r="M40" s="80">
        <v>10674277</v>
      </c>
      <c r="N40" s="42" t="s">
        <v>516</v>
      </c>
      <c r="O40" s="82">
        <v>40</v>
      </c>
      <c r="P40" s="82" t="s">
        <v>69</v>
      </c>
      <c r="Q40" s="82">
        <v>40</v>
      </c>
      <c r="R40" s="84">
        <f t="shared" si="0"/>
        <v>0</v>
      </c>
    </row>
    <row r="41" spans="1:18" hidden="1" x14ac:dyDescent="0.35">
      <c r="A41" s="41"/>
      <c r="B41" s="42"/>
      <c r="C41" s="11"/>
      <c r="D41" s="11"/>
      <c r="E41" s="3"/>
      <c r="F41" s="18"/>
      <c r="G41" s="9"/>
      <c r="H41" s="10"/>
      <c r="I41" s="10"/>
      <c r="J41" s="76"/>
      <c r="K41" s="2" t="str">
        <f t="shared" ref="K41:K73" si="1">IF(I41="-", IF(J41&lt;$K$6, "Failed!", "pass"), IF(AND(H41&gt;=$J$6, I41&gt;=$J$6, J41&gt;=$K$6), "pass", "Failed!"))</f>
        <v>Failed!</v>
      </c>
      <c r="L41" s="53"/>
      <c r="M41" s="80"/>
      <c r="N41" s="42"/>
      <c r="O41" s="82"/>
      <c r="P41" s="82"/>
      <c r="Q41" s="82"/>
    </row>
    <row r="42" spans="1:18" hidden="1" x14ac:dyDescent="0.35">
      <c r="A42" s="41"/>
      <c r="B42" s="42"/>
      <c r="C42" s="11"/>
      <c r="D42" s="11"/>
      <c r="E42" s="3"/>
      <c r="F42" s="18"/>
      <c r="G42" s="9"/>
      <c r="H42" s="10"/>
      <c r="I42" s="10"/>
      <c r="J42" s="76"/>
      <c r="K42" s="2" t="str">
        <f t="shared" si="1"/>
        <v>Failed!</v>
      </c>
      <c r="L42" s="53"/>
      <c r="M42" s="80"/>
      <c r="N42" s="42"/>
      <c r="O42" s="82"/>
      <c r="P42" s="82"/>
      <c r="Q42" s="82"/>
    </row>
    <row r="43" spans="1:18" hidden="1" x14ac:dyDescent="0.35">
      <c r="A43" s="41"/>
      <c r="B43" s="42"/>
      <c r="C43" s="11"/>
      <c r="D43" s="11"/>
      <c r="E43" s="3"/>
      <c r="F43" s="18"/>
      <c r="G43" s="9"/>
      <c r="H43" s="10"/>
      <c r="I43" s="10"/>
      <c r="J43" s="76"/>
      <c r="K43" s="2" t="str">
        <f t="shared" si="1"/>
        <v>Failed!</v>
      </c>
      <c r="L43" s="53"/>
      <c r="M43" s="80"/>
      <c r="N43" s="42"/>
      <c r="O43" s="82"/>
      <c r="P43" s="82"/>
      <c r="Q43" s="82"/>
    </row>
    <row r="44" spans="1:18" hidden="1" x14ac:dyDescent="0.35">
      <c r="A44" s="41"/>
      <c r="B44" s="42"/>
      <c r="C44" s="11"/>
      <c r="D44" s="11"/>
      <c r="E44" s="3"/>
      <c r="F44" s="18"/>
      <c r="G44" s="9"/>
      <c r="H44" s="10"/>
      <c r="I44" s="10"/>
      <c r="J44" s="76"/>
      <c r="K44" s="2" t="str">
        <f t="shared" si="1"/>
        <v>Failed!</v>
      </c>
      <c r="L44" s="53"/>
      <c r="M44" s="80"/>
      <c r="N44" s="42"/>
      <c r="O44" s="82"/>
      <c r="P44" s="82"/>
      <c r="Q44" s="82"/>
    </row>
    <row r="45" spans="1:18" hidden="1" x14ac:dyDescent="0.35">
      <c r="A45" s="41"/>
      <c r="B45" s="42"/>
      <c r="C45" s="11"/>
      <c r="D45" s="11"/>
      <c r="E45" s="3"/>
      <c r="F45" s="18"/>
      <c r="G45" s="9"/>
      <c r="H45" s="10"/>
      <c r="I45" s="10"/>
      <c r="J45" s="76"/>
      <c r="K45" s="2" t="str">
        <f t="shared" si="1"/>
        <v>Failed!</v>
      </c>
      <c r="L45" s="53"/>
      <c r="M45" s="80"/>
      <c r="N45" s="42"/>
      <c r="O45" s="82"/>
      <c r="P45" s="82"/>
      <c r="Q45" s="82"/>
    </row>
    <row r="46" spans="1:18" hidden="1" x14ac:dyDescent="0.35">
      <c r="A46" s="41"/>
      <c r="B46" s="42"/>
      <c r="C46" s="11"/>
      <c r="D46" s="11"/>
      <c r="E46" s="3"/>
      <c r="F46" s="18"/>
      <c r="G46" s="9"/>
      <c r="H46" s="10"/>
      <c r="I46" s="10"/>
      <c r="J46" s="76"/>
      <c r="K46" s="2" t="str">
        <f t="shared" si="1"/>
        <v>Failed!</v>
      </c>
      <c r="L46" s="53"/>
      <c r="M46" s="80"/>
      <c r="N46" s="42"/>
      <c r="O46" s="82"/>
      <c r="P46" s="82"/>
      <c r="Q46" s="82"/>
    </row>
    <row r="47" spans="1:18" hidden="1" x14ac:dyDescent="0.35">
      <c r="A47" s="41"/>
      <c r="B47" s="42"/>
      <c r="C47" s="11"/>
      <c r="D47" s="11"/>
      <c r="E47" s="3"/>
      <c r="F47" s="18"/>
      <c r="G47" s="9"/>
      <c r="H47" s="10"/>
      <c r="I47" s="10"/>
      <c r="J47" s="76"/>
      <c r="K47" s="2" t="str">
        <f t="shared" si="1"/>
        <v>Failed!</v>
      </c>
      <c r="L47" s="53"/>
      <c r="M47" s="80"/>
      <c r="N47" s="42"/>
      <c r="O47" s="82"/>
      <c r="P47" s="82"/>
      <c r="Q47" s="82"/>
    </row>
    <row r="48" spans="1:18"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31</v>
      </c>
      <c r="G90" s="2" t="s">
        <v>14</v>
      </c>
      <c r="H90" s="40">
        <f>MAX(H10:H88)</f>
        <v>84</v>
      </c>
      <c r="I90" s="40">
        <f>MAX(I10:I88)</f>
        <v>0</v>
      </c>
      <c r="J90" s="40">
        <f>MAX(L10:L88)</f>
        <v>84</v>
      </c>
      <c r="M90" s="4"/>
    </row>
    <row r="91" spans="1:17" x14ac:dyDescent="0.35">
      <c r="G91" s="2" t="s">
        <v>12</v>
      </c>
      <c r="H91" s="40">
        <f>AVERAGE(H10:H88)</f>
        <v>54.29032258064516</v>
      </c>
      <c r="I91" s="40" t="e">
        <f>AVERAGE(I10:I88)</f>
        <v>#DIV/0!</v>
      </c>
      <c r="J91" s="40">
        <f>AVERAGE(L10:L88)</f>
        <v>54.29032258064516</v>
      </c>
      <c r="M91" s="4"/>
    </row>
    <row r="92" spans="1:17" x14ac:dyDescent="0.35">
      <c r="G92" s="2" t="s">
        <v>15</v>
      </c>
      <c r="H92" s="40">
        <f>MIN(H10:H88)</f>
        <v>15</v>
      </c>
      <c r="I92" s="40">
        <f>MIN(I10:I88)</f>
        <v>0</v>
      </c>
      <c r="J92" s="40">
        <f>MIN(L10:L88)</f>
        <v>15</v>
      </c>
      <c r="M92" s="4"/>
    </row>
    <row r="93" spans="1:17" x14ac:dyDescent="0.35">
      <c r="G93" s="2" t="s">
        <v>13</v>
      </c>
      <c r="H93" s="40">
        <f>STDEV(H10:H88)</f>
        <v>20.015316715600743</v>
      </c>
      <c r="I93" s="40" t="e">
        <f>STDEV(I10:I88)</f>
        <v>#DIV/0!</v>
      </c>
      <c r="J93" s="40">
        <f>STDEV(L10:L88)</f>
        <v>20.015316715600743</v>
      </c>
      <c r="M93" s="4"/>
    </row>
    <row r="94" spans="1:17" x14ac:dyDescent="0.35">
      <c r="G94" s="2" t="str">
        <f>"Failed count ( &lt; " &amp; K6 &amp; " )"</f>
        <v>Failed count ( &lt; 40 )</v>
      </c>
      <c r="H94" s="50">
        <f>COUNTIF(H10:H88, "&lt;40")</f>
        <v>7</v>
      </c>
      <c r="I94" s="50">
        <f>COUNTIF(I10:I88, "&lt;40")</f>
        <v>0</v>
      </c>
      <c r="J94" s="50">
        <f>COUNTIF(L10:L88, "&lt;40")</f>
        <v>7</v>
      </c>
      <c r="M94" s="4"/>
    </row>
    <row r="95" spans="1:17" x14ac:dyDescent="0.35">
      <c r="G95" s="2" t="s">
        <v>16</v>
      </c>
      <c r="H95" s="49">
        <f>1-H94/$F90</f>
        <v>0.77419354838709675</v>
      </c>
      <c r="I95" s="49">
        <f>1-I94/$F90</f>
        <v>1</v>
      </c>
      <c r="J95" s="49">
        <f>1-J94/$F90</f>
        <v>0.77419354838709675</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26" priority="1" operator="lessThan">
      <formula>$K$6</formula>
    </cfRule>
  </conditionalFormatting>
  <conditionalFormatting sqref="F10:I88">
    <cfRule type="expression" dxfId="25" priority="2" stopIfTrue="1">
      <formula>F10=A10</formula>
    </cfRule>
    <cfRule type="expression" dxfId="24" priority="3" stopIfTrue="1">
      <formula>F10&lt;&gt;A10</formula>
    </cfRule>
  </conditionalFormatting>
  <conditionalFormatting sqref="M10:Q40">
    <cfRule type="expression" dxfId="23" priority="4" stopIfTrue="1">
      <formula>M10=F10</formula>
    </cfRule>
    <cfRule type="expression" dxfId="2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8850"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8851"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R109"/>
  <sheetViews>
    <sheetView zoomScaleNormal="100" workbookViewId="0">
      <pane xSplit="1" ySplit="9" topLeftCell="G10" activePane="bottomRight" state="frozen"/>
      <selection activeCell="E16" sqref="E16"/>
      <selection pane="topRight" activeCell="E16" sqref="E16"/>
      <selection pane="bottomLeft" activeCell="E16" sqref="E16"/>
      <selection pane="bottomRight" activeCell="L14" sqref="L14"/>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31</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234</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235</v>
      </c>
      <c r="C5" s="14"/>
      <c r="D5" s="16"/>
      <c r="F5" s="59" t="s">
        <v>38</v>
      </c>
      <c r="L5" s="52"/>
      <c r="M5" s="47" t="s">
        <v>49</v>
      </c>
    </row>
    <row r="6" spans="1:18" x14ac:dyDescent="0.35">
      <c r="A6" s="20" t="s">
        <v>37</v>
      </c>
      <c r="B6" s="13" t="s">
        <v>68</v>
      </c>
      <c r="C6" s="14"/>
      <c r="D6" s="16"/>
      <c r="F6" s="59" t="s">
        <v>54</v>
      </c>
      <c r="J6" s="70">
        <v>35</v>
      </c>
      <c r="K6" s="70">
        <v>40</v>
      </c>
      <c r="L6" s="52"/>
      <c r="N6" s="51" t="str">
        <f>B5&amp;".pdf"</f>
        <v>310CT.pdf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10447958</v>
      </c>
      <c r="B10" s="42" t="s">
        <v>210</v>
      </c>
      <c r="C10" s="11">
        <v>53.2</v>
      </c>
      <c r="D10" s="11">
        <v>58</v>
      </c>
      <c r="E10" s="3"/>
      <c r="F10" s="18">
        <v>10447958</v>
      </c>
      <c r="G10" s="9" t="s">
        <v>355</v>
      </c>
      <c r="H10" s="10">
        <v>53.2</v>
      </c>
      <c r="I10" s="10">
        <v>58</v>
      </c>
      <c r="J10" s="76">
        <v>55.6</v>
      </c>
      <c r="K10" s="2" t="s">
        <v>398</v>
      </c>
      <c r="L10" s="53">
        <v>55.6</v>
      </c>
      <c r="M10" s="80">
        <v>10447958</v>
      </c>
      <c r="N10" s="42" t="s">
        <v>497</v>
      </c>
      <c r="O10" s="82">
        <v>53.2</v>
      </c>
      <c r="P10" s="82">
        <v>58</v>
      </c>
      <c r="Q10" s="82">
        <v>55.6</v>
      </c>
      <c r="R10" s="84">
        <f t="shared" ref="R10:R40" si="0">ROUND(Q10 - ABS(J10), 2)</f>
        <v>0</v>
      </c>
    </row>
    <row r="11" spans="1:18" x14ac:dyDescent="0.35">
      <c r="A11" s="41">
        <v>10447947</v>
      </c>
      <c r="B11" s="43" t="s">
        <v>155</v>
      </c>
      <c r="C11" s="11">
        <v>82.4</v>
      </c>
      <c r="D11" s="11">
        <v>68</v>
      </c>
      <c r="E11" s="3"/>
      <c r="F11" s="18">
        <v>10447947</v>
      </c>
      <c r="G11" s="9" t="s">
        <v>314</v>
      </c>
      <c r="H11" s="10">
        <v>82.4</v>
      </c>
      <c r="I11" s="10">
        <v>68</v>
      </c>
      <c r="J11" s="76">
        <v>75.2</v>
      </c>
      <c r="K11" s="2" t="s">
        <v>398</v>
      </c>
      <c r="L11" s="53">
        <v>75.2</v>
      </c>
      <c r="M11" s="80">
        <v>10447947</v>
      </c>
      <c r="N11" s="42" t="s">
        <v>463</v>
      </c>
      <c r="O11" s="82">
        <v>82.4</v>
      </c>
      <c r="P11" s="82">
        <v>68</v>
      </c>
      <c r="Q11" s="82">
        <v>75.2</v>
      </c>
      <c r="R11" s="84">
        <f t="shared" si="0"/>
        <v>0</v>
      </c>
    </row>
    <row r="12" spans="1:18" x14ac:dyDescent="0.35">
      <c r="A12" s="41">
        <v>10673993</v>
      </c>
      <c r="B12" s="42" t="s">
        <v>156</v>
      </c>
      <c r="C12" s="11">
        <v>81.8</v>
      </c>
      <c r="D12" s="11">
        <v>65</v>
      </c>
      <c r="E12" s="3"/>
      <c r="F12" s="18">
        <v>10673993</v>
      </c>
      <c r="G12" s="9" t="s">
        <v>315</v>
      </c>
      <c r="H12" s="10">
        <v>81.8</v>
      </c>
      <c r="I12" s="10">
        <v>65</v>
      </c>
      <c r="J12" s="76">
        <v>73.400000000000006</v>
      </c>
      <c r="K12" s="2" t="s">
        <v>398</v>
      </c>
      <c r="L12" s="53">
        <v>73.400000000000006</v>
      </c>
      <c r="M12" s="80">
        <v>10673993</v>
      </c>
      <c r="N12" s="42" t="s">
        <v>446</v>
      </c>
      <c r="O12" s="82">
        <v>81.8</v>
      </c>
      <c r="P12" s="82">
        <v>65</v>
      </c>
      <c r="Q12" s="82">
        <v>73.400000000000006</v>
      </c>
      <c r="R12" s="84">
        <f t="shared" si="0"/>
        <v>0</v>
      </c>
    </row>
    <row r="13" spans="1:18" x14ac:dyDescent="0.35">
      <c r="A13" s="41">
        <v>10447844</v>
      </c>
      <c r="B13" s="42" t="s">
        <v>158</v>
      </c>
      <c r="C13" s="11">
        <v>72.400000000000006</v>
      </c>
      <c r="D13" s="11">
        <v>62</v>
      </c>
      <c r="E13" s="3"/>
      <c r="F13" s="18">
        <v>10447844</v>
      </c>
      <c r="G13" s="9" t="s">
        <v>317</v>
      </c>
      <c r="H13" s="10">
        <v>72.400000000000006</v>
      </c>
      <c r="I13" s="10">
        <v>62</v>
      </c>
      <c r="J13" s="76">
        <v>67.2</v>
      </c>
      <c r="K13" s="2" t="s">
        <v>398</v>
      </c>
      <c r="L13" s="53">
        <v>67.2</v>
      </c>
      <c r="M13" s="80">
        <v>10447844</v>
      </c>
      <c r="N13" s="42" t="s">
        <v>448</v>
      </c>
      <c r="O13" s="82">
        <v>72.400000000000006</v>
      </c>
      <c r="P13" s="82">
        <v>62</v>
      </c>
      <c r="Q13" s="82">
        <v>67.2</v>
      </c>
      <c r="R13" s="84">
        <f t="shared" si="0"/>
        <v>0</v>
      </c>
    </row>
    <row r="14" spans="1:18" x14ac:dyDescent="0.35">
      <c r="A14" s="41">
        <v>10674015</v>
      </c>
      <c r="B14" s="42" t="s">
        <v>160</v>
      </c>
      <c r="C14" s="11">
        <v>77.8</v>
      </c>
      <c r="D14" s="11">
        <v>89</v>
      </c>
      <c r="E14" s="3"/>
      <c r="F14" s="18">
        <v>10674015</v>
      </c>
      <c r="G14" s="9" t="s">
        <v>319</v>
      </c>
      <c r="H14" s="10">
        <v>77.8</v>
      </c>
      <c r="I14" s="10">
        <v>89</v>
      </c>
      <c r="J14" s="76">
        <v>83.4</v>
      </c>
      <c r="K14" s="2" t="s">
        <v>398</v>
      </c>
      <c r="L14" s="53">
        <v>83.4</v>
      </c>
      <c r="M14" s="80">
        <v>10674015</v>
      </c>
      <c r="N14" s="42" t="s">
        <v>450</v>
      </c>
      <c r="O14" s="82">
        <v>77.8</v>
      </c>
      <c r="P14" s="82">
        <v>89</v>
      </c>
      <c r="Q14" s="82">
        <v>83.4</v>
      </c>
      <c r="R14" s="84">
        <f t="shared" si="0"/>
        <v>0</v>
      </c>
    </row>
    <row r="15" spans="1:18" x14ac:dyDescent="0.35">
      <c r="A15" s="41">
        <v>10447855</v>
      </c>
      <c r="B15" s="42" t="s">
        <v>161</v>
      </c>
      <c r="C15" s="11">
        <v>60.4</v>
      </c>
      <c r="D15" s="11">
        <v>55</v>
      </c>
      <c r="E15" s="3"/>
      <c r="F15" s="18">
        <v>10447855</v>
      </c>
      <c r="G15" s="9" t="s">
        <v>320</v>
      </c>
      <c r="H15" s="10">
        <v>60.4</v>
      </c>
      <c r="I15" s="10">
        <v>55</v>
      </c>
      <c r="J15" s="76">
        <v>57.7</v>
      </c>
      <c r="K15" s="2" t="s">
        <v>398</v>
      </c>
      <c r="L15" s="53">
        <v>57.7</v>
      </c>
      <c r="M15" s="80">
        <v>10447855</v>
      </c>
      <c r="N15" s="42" t="s">
        <v>465</v>
      </c>
      <c r="O15" s="82">
        <v>60.4</v>
      </c>
      <c r="P15" s="82">
        <v>55</v>
      </c>
      <c r="Q15" s="82">
        <v>57.7</v>
      </c>
      <c r="R15" s="84">
        <f t="shared" si="0"/>
        <v>0</v>
      </c>
    </row>
    <row r="16" spans="1:18" x14ac:dyDescent="0.35">
      <c r="A16" s="41">
        <v>10674299</v>
      </c>
      <c r="B16" s="42" t="s">
        <v>163</v>
      </c>
      <c r="C16" s="11">
        <v>63.4</v>
      </c>
      <c r="D16" s="11">
        <v>44</v>
      </c>
      <c r="E16" s="3"/>
      <c r="F16" s="18">
        <v>10674299</v>
      </c>
      <c r="G16" s="9" t="s">
        <v>322</v>
      </c>
      <c r="H16" s="10">
        <v>63.4</v>
      </c>
      <c r="I16" s="10">
        <v>44</v>
      </c>
      <c r="J16" s="76">
        <v>53.7</v>
      </c>
      <c r="K16" s="2" t="s">
        <v>398</v>
      </c>
      <c r="L16" s="53">
        <v>53.7</v>
      </c>
      <c r="M16" s="80">
        <v>10674299</v>
      </c>
      <c r="N16" s="42" t="s">
        <v>467</v>
      </c>
      <c r="O16" s="82">
        <v>63.4</v>
      </c>
      <c r="P16" s="82">
        <v>44</v>
      </c>
      <c r="Q16" s="82">
        <v>53.7</v>
      </c>
      <c r="R16" s="84">
        <f t="shared" si="0"/>
        <v>0</v>
      </c>
    </row>
    <row r="17" spans="1:18" x14ac:dyDescent="0.35">
      <c r="A17" s="41">
        <v>10674222</v>
      </c>
      <c r="B17" s="42" t="s">
        <v>164</v>
      </c>
      <c r="C17" s="11">
        <v>58.6</v>
      </c>
      <c r="D17" s="11">
        <v>29</v>
      </c>
      <c r="E17" s="3"/>
      <c r="F17" s="18">
        <v>10674222</v>
      </c>
      <c r="G17" s="9" t="s">
        <v>323</v>
      </c>
      <c r="H17" s="10">
        <v>58.6</v>
      </c>
      <c r="I17" s="10">
        <v>29</v>
      </c>
      <c r="J17" s="76">
        <v>-43.8</v>
      </c>
      <c r="K17" s="2" t="s">
        <v>398</v>
      </c>
      <c r="L17" s="53">
        <v>43.8</v>
      </c>
      <c r="M17" s="80">
        <v>10674222</v>
      </c>
      <c r="N17" s="42" t="s">
        <v>462</v>
      </c>
      <c r="O17" s="82">
        <v>58.6</v>
      </c>
      <c r="P17" s="82">
        <v>29</v>
      </c>
      <c r="Q17" s="82">
        <v>43.8</v>
      </c>
      <c r="R17" s="84">
        <f t="shared" si="0"/>
        <v>0</v>
      </c>
    </row>
    <row r="18" spans="1:18" x14ac:dyDescent="0.35">
      <c r="A18" s="41">
        <v>10674026</v>
      </c>
      <c r="B18" s="42" t="s">
        <v>192</v>
      </c>
      <c r="C18" s="11">
        <v>65.8</v>
      </c>
      <c r="D18" s="11">
        <v>50</v>
      </c>
      <c r="E18" s="3"/>
      <c r="F18" s="18">
        <v>10674026</v>
      </c>
      <c r="G18" s="9" t="s">
        <v>358</v>
      </c>
      <c r="H18" s="10">
        <v>65.8</v>
      </c>
      <c r="I18" s="10">
        <v>50</v>
      </c>
      <c r="J18" s="76">
        <v>57.9</v>
      </c>
      <c r="K18" s="2" t="s">
        <v>398</v>
      </c>
      <c r="L18" s="53">
        <v>57.9</v>
      </c>
      <c r="M18" s="80">
        <v>10674026</v>
      </c>
      <c r="N18" s="42" t="s">
        <v>480</v>
      </c>
      <c r="O18" s="82">
        <v>65.8</v>
      </c>
      <c r="P18" s="82">
        <v>50</v>
      </c>
      <c r="Q18" s="82">
        <v>57.9</v>
      </c>
      <c r="R18" s="84">
        <f t="shared" si="0"/>
        <v>0</v>
      </c>
    </row>
    <row r="19" spans="1:18" x14ac:dyDescent="0.35">
      <c r="A19" s="41">
        <v>10447833</v>
      </c>
      <c r="B19" s="42" t="s">
        <v>165</v>
      </c>
      <c r="C19" s="11">
        <v>72.8</v>
      </c>
      <c r="D19" s="11">
        <v>76</v>
      </c>
      <c r="E19" s="3"/>
      <c r="F19" s="18">
        <v>10447833</v>
      </c>
      <c r="G19" s="9" t="s">
        <v>324</v>
      </c>
      <c r="H19" s="10">
        <v>72.8</v>
      </c>
      <c r="I19" s="10">
        <v>76</v>
      </c>
      <c r="J19" s="76">
        <v>74.400000000000006</v>
      </c>
      <c r="K19" s="2" t="s">
        <v>398</v>
      </c>
      <c r="L19" s="53">
        <v>74.400000000000006</v>
      </c>
      <c r="M19" s="80">
        <v>10447833</v>
      </c>
      <c r="N19" s="42" t="s">
        <v>451</v>
      </c>
      <c r="O19" s="82">
        <v>72.8</v>
      </c>
      <c r="P19" s="82">
        <v>76</v>
      </c>
      <c r="Q19" s="82">
        <v>74.400000000000006</v>
      </c>
      <c r="R19" s="84">
        <f t="shared" si="0"/>
        <v>0</v>
      </c>
    </row>
    <row r="20" spans="1:18" x14ac:dyDescent="0.35">
      <c r="A20" s="41">
        <v>9546011</v>
      </c>
      <c r="B20" s="42" t="s">
        <v>166</v>
      </c>
      <c r="C20" s="11">
        <v>53.2</v>
      </c>
      <c r="D20" s="11">
        <v>35</v>
      </c>
      <c r="E20" s="3"/>
      <c r="F20" s="18">
        <v>9546011</v>
      </c>
      <c r="G20" s="9" t="s">
        <v>325</v>
      </c>
      <c r="H20" s="10">
        <v>53.2</v>
      </c>
      <c r="I20" s="10">
        <v>35</v>
      </c>
      <c r="J20" s="76">
        <v>44.1</v>
      </c>
      <c r="K20" s="2" t="s">
        <v>398</v>
      </c>
      <c r="L20" s="53">
        <v>44.1</v>
      </c>
      <c r="M20" s="80">
        <v>9546011</v>
      </c>
      <c r="N20" s="42" t="s">
        <v>452</v>
      </c>
      <c r="O20" s="82">
        <v>53.2</v>
      </c>
      <c r="P20" s="82">
        <v>35</v>
      </c>
      <c r="Q20" s="82">
        <v>44.1</v>
      </c>
      <c r="R20" s="84">
        <f t="shared" si="0"/>
        <v>0</v>
      </c>
    </row>
    <row r="21" spans="1:18" x14ac:dyDescent="0.35">
      <c r="A21" s="41">
        <v>10447969</v>
      </c>
      <c r="B21" s="42" t="s">
        <v>216</v>
      </c>
      <c r="C21" s="11">
        <v>66</v>
      </c>
      <c r="D21" s="11">
        <v>44</v>
      </c>
      <c r="E21" s="3"/>
      <c r="F21" s="18">
        <v>10447969</v>
      </c>
      <c r="G21" s="9" t="s">
        <v>362</v>
      </c>
      <c r="H21" s="10">
        <v>66</v>
      </c>
      <c r="I21" s="10">
        <v>44</v>
      </c>
      <c r="J21" s="76">
        <v>55</v>
      </c>
      <c r="K21" s="2" t="s">
        <v>398</v>
      </c>
      <c r="L21" s="53">
        <v>55</v>
      </c>
      <c r="M21" s="80">
        <v>10447969</v>
      </c>
      <c r="N21" s="42" t="s">
        <v>502</v>
      </c>
      <c r="O21" s="82">
        <v>66</v>
      </c>
      <c r="P21" s="82">
        <v>44</v>
      </c>
      <c r="Q21" s="82">
        <v>55</v>
      </c>
      <c r="R21" s="84">
        <f t="shared" si="0"/>
        <v>0</v>
      </c>
    </row>
    <row r="22" spans="1:18" x14ac:dyDescent="0.35">
      <c r="A22" s="41">
        <v>10674439</v>
      </c>
      <c r="B22" s="42" t="s">
        <v>167</v>
      </c>
      <c r="C22" s="11">
        <v>55.4</v>
      </c>
      <c r="D22" s="11">
        <v>54</v>
      </c>
      <c r="E22" s="3"/>
      <c r="F22" s="18">
        <v>10674439</v>
      </c>
      <c r="G22" s="9" t="s">
        <v>326</v>
      </c>
      <c r="H22" s="10">
        <v>55.4</v>
      </c>
      <c r="I22" s="10">
        <v>54</v>
      </c>
      <c r="J22" s="76">
        <v>54.7</v>
      </c>
      <c r="K22" s="2" t="s">
        <v>398</v>
      </c>
      <c r="L22" s="53">
        <v>54.7</v>
      </c>
      <c r="M22" s="80">
        <v>10674439</v>
      </c>
      <c r="N22" s="42" t="s">
        <v>472</v>
      </c>
      <c r="O22" s="82">
        <v>55.4</v>
      </c>
      <c r="P22" s="82">
        <v>54</v>
      </c>
      <c r="Q22" s="82">
        <v>54.7</v>
      </c>
      <c r="R22" s="84">
        <f t="shared" si="0"/>
        <v>0</v>
      </c>
    </row>
    <row r="23" spans="1:18" x14ac:dyDescent="0.35">
      <c r="A23" s="41">
        <v>9546022</v>
      </c>
      <c r="B23" s="42" t="s">
        <v>169</v>
      </c>
      <c r="C23" s="11">
        <v>72.400000000000006</v>
      </c>
      <c r="D23" s="11">
        <v>79</v>
      </c>
      <c r="E23" s="3"/>
      <c r="F23" s="18">
        <v>9546022</v>
      </c>
      <c r="G23" s="9" t="s">
        <v>328</v>
      </c>
      <c r="H23" s="10">
        <v>72.400000000000006</v>
      </c>
      <c r="I23" s="10">
        <v>79</v>
      </c>
      <c r="J23" s="76">
        <v>75.7</v>
      </c>
      <c r="K23" s="2" t="s">
        <v>398</v>
      </c>
      <c r="L23" s="53">
        <v>75.7</v>
      </c>
      <c r="M23" s="80">
        <v>9546022</v>
      </c>
      <c r="N23" s="42" t="s">
        <v>453</v>
      </c>
      <c r="O23" s="82">
        <v>72.400000000000006</v>
      </c>
      <c r="P23" s="82">
        <v>79</v>
      </c>
      <c r="Q23" s="82">
        <v>75.7</v>
      </c>
      <c r="R23" s="84">
        <f t="shared" si="0"/>
        <v>0</v>
      </c>
    </row>
    <row r="24" spans="1:18" x14ac:dyDescent="0.35">
      <c r="A24" s="41">
        <v>10447914</v>
      </c>
      <c r="B24" s="42" t="s">
        <v>170</v>
      </c>
      <c r="C24" s="11">
        <v>69.8</v>
      </c>
      <c r="D24" s="11">
        <v>73</v>
      </c>
      <c r="E24" s="3"/>
      <c r="F24" s="18">
        <v>10447914</v>
      </c>
      <c r="G24" s="9" t="s">
        <v>329</v>
      </c>
      <c r="H24" s="10">
        <v>69.8</v>
      </c>
      <c r="I24" s="10">
        <v>73</v>
      </c>
      <c r="J24" s="76">
        <v>71.400000000000006</v>
      </c>
      <c r="K24" s="2" t="s">
        <v>398</v>
      </c>
      <c r="L24" s="53">
        <v>71.400000000000006</v>
      </c>
      <c r="M24" s="80">
        <v>10447914</v>
      </c>
      <c r="N24" s="42" t="s">
        <v>455</v>
      </c>
      <c r="O24" s="82">
        <v>69.8</v>
      </c>
      <c r="P24" s="82">
        <v>73</v>
      </c>
      <c r="Q24" s="82">
        <v>71.400000000000006</v>
      </c>
      <c r="R24" s="84">
        <f t="shared" si="0"/>
        <v>0</v>
      </c>
    </row>
    <row r="25" spans="1:18" x14ac:dyDescent="0.35">
      <c r="A25" s="41">
        <v>10448380</v>
      </c>
      <c r="B25" s="42" t="s">
        <v>171</v>
      </c>
      <c r="C25" s="11">
        <v>56.8</v>
      </c>
      <c r="D25" s="11">
        <v>40</v>
      </c>
      <c r="E25" s="3"/>
      <c r="F25" s="18">
        <v>10448380</v>
      </c>
      <c r="G25" s="9" t="s">
        <v>330</v>
      </c>
      <c r="H25" s="10">
        <v>56.8</v>
      </c>
      <c r="I25" s="10">
        <v>40</v>
      </c>
      <c r="J25" s="76">
        <v>48.4</v>
      </c>
      <c r="K25" s="2" t="s">
        <v>398</v>
      </c>
      <c r="L25" s="53">
        <v>48.4</v>
      </c>
      <c r="M25" s="80">
        <v>10448380</v>
      </c>
      <c r="N25" s="42" t="s">
        <v>456</v>
      </c>
      <c r="O25" s="82">
        <v>56.8</v>
      </c>
      <c r="P25" s="82">
        <v>40</v>
      </c>
      <c r="Q25" s="82">
        <v>48.4</v>
      </c>
      <c r="R25" s="84">
        <f t="shared" si="0"/>
        <v>0</v>
      </c>
    </row>
    <row r="26" spans="1:18" x14ac:dyDescent="0.35">
      <c r="A26" s="41">
        <v>10448298</v>
      </c>
      <c r="B26" s="42" t="s">
        <v>222</v>
      </c>
      <c r="C26" s="11">
        <v>54</v>
      </c>
      <c r="D26" s="11">
        <v>50</v>
      </c>
      <c r="E26" s="3"/>
      <c r="F26" s="18">
        <v>10448298</v>
      </c>
      <c r="G26" s="9" t="s">
        <v>368</v>
      </c>
      <c r="H26" s="10">
        <v>54</v>
      </c>
      <c r="I26" s="10">
        <v>50</v>
      </c>
      <c r="J26" s="76">
        <v>52</v>
      </c>
      <c r="K26" s="2" t="s">
        <v>398</v>
      </c>
      <c r="L26" s="53">
        <v>52</v>
      </c>
      <c r="M26" s="80">
        <v>10448298</v>
      </c>
      <c r="N26" s="42" t="s">
        <v>508</v>
      </c>
      <c r="O26" s="82">
        <v>54</v>
      </c>
      <c r="P26" s="82">
        <v>50</v>
      </c>
      <c r="Q26" s="82">
        <v>52</v>
      </c>
      <c r="R26" s="84">
        <f t="shared" si="0"/>
        <v>0</v>
      </c>
    </row>
    <row r="27" spans="1:18" x14ac:dyDescent="0.35">
      <c r="A27" s="41">
        <v>10448047</v>
      </c>
      <c r="B27" s="42" t="s">
        <v>226</v>
      </c>
      <c r="C27" s="11">
        <v>60.4</v>
      </c>
      <c r="D27" s="11">
        <v>40</v>
      </c>
      <c r="E27" s="3"/>
      <c r="F27" s="18">
        <v>10448047</v>
      </c>
      <c r="G27" s="9" t="s">
        <v>372</v>
      </c>
      <c r="H27" s="10">
        <v>60.4</v>
      </c>
      <c r="I27" s="10">
        <v>40</v>
      </c>
      <c r="J27" s="76">
        <v>50.2</v>
      </c>
      <c r="K27" s="2" t="s">
        <v>398</v>
      </c>
      <c r="L27" s="53">
        <v>50.2</v>
      </c>
      <c r="M27" s="80">
        <v>10448047</v>
      </c>
      <c r="N27" s="42" t="s">
        <v>512</v>
      </c>
      <c r="O27" s="82">
        <v>60.4</v>
      </c>
      <c r="P27" s="82">
        <v>40</v>
      </c>
      <c r="Q27" s="82">
        <v>50.2</v>
      </c>
      <c r="R27" s="84">
        <f t="shared" si="0"/>
        <v>0</v>
      </c>
    </row>
    <row r="28" spans="1:18" x14ac:dyDescent="0.35">
      <c r="A28" s="41">
        <v>10674163</v>
      </c>
      <c r="B28" s="42" t="s">
        <v>173</v>
      </c>
      <c r="C28" s="11">
        <v>75.2</v>
      </c>
      <c r="D28" s="11">
        <v>83</v>
      </c>
      <c r="E28" s="3"/>
      <c r="F28" s="18">
        <v>10674163</v>
      </c>
      <c r="G28" s="9" t="s">
        <v>332</v>
      </c>
      <c r="H28" s="10">
        <v>75.2</v>
      </c>
      <c r="I28" s="10">
        <v>83</v>
      </c>
      <c r="J28" s="76">
        <v>79.099999999999994</v>
      </c>
      <c r="K28" s="2" t="s">
        <v>398</v>
      </c>
      <c r="L28" s="53">
        <v>79.099999999999994</v>
      </c>
      <c r="M28" s="80">
        <v>10674163</v>
      </c>
      <c r="N28" s="42" t="s">
        <v>459</v>
      </c>
      <c r="O28" s="82">
        <v>75.2</v>
      </c>
      <c r="P28" s="82">
        <v>83</v>
      </c>
      <c r="Q28" s="82">
        <v>79.099999999999994</v>
      </c>
      <c r="R28" s="84">
        <f t="shared" si="0"/>
        <v>0</v>
      </c>
    </row>
    <row r="29" spans="1:18" x14ac:dyDescent="0.35">
      <c r="A29" s="41">
        <v>10674174</v>
      </c>
      <c r="B29" s="42" t="s">
        <v>174</v>
      </c>
      <c r="C29" s="11">
        <v>76.400000000000006</v>
      </c>
      <c r="D29" s="11">
        <v>83</v>
      </c>
      <c r="E29" s="3"/>
      <c r="F29" s="18">
        <v>10674174</v>
      </c>
      <c r="G29" s="9" t="s">
        <v>333</v>
      </c>
      <c r="H29" s="10">
        <v>76.400000000000006</v>
      </c>
      <c r="I29" s="10">
        <v>83</v>
      </c>
      <c r="J29" s="76">
        <v>79.7</v>
      </c>
      <c r="K29" s="2" t="s">
        <v>398</v>
      </c>
      <c r="L29" s="53">
        <v>79.7</v>
      </c>
      <c r="M29" s="80">
        <v>10674174</v>
      </c>
      <c r="N29" s="42" t="s">
        <v>460</v>
      </c>
      <c r="O29" s="82">
        <v>76.400000000000006</v>
      </c>
      <c r="P29" s="82">
        <v>83</v>
      </c>
      <c r="Q29" s="82">
        <v>79.7</v>
      </c>
      <c r="R29" s="84">
        <f t="shared" si="0"/>
        <v>0</v>
      </c>
    </row>
    <row r="30" spans="1:18" x14ac:dyDescent="0.35">
      <c r="A30" s="41">
        <v>10448014</v>
      </c>
      <c r="B30" s="42" t="s">
        <v>175</v>
      </c>
      <c r="C30" s="11">
        <v>56.8</v>
      </c>
      <c r="D30" s="11">
        <v>45</v>
      </c>
      <c r="E30" s="3"/>
      <c r="F30" s="18">
        <v>10448014</v>
      </c>
      <c r="G30" s="9" t="s">
        <v>334</v>
      </c>
      <c r="H30" s="10">
        <v>56.8</v>
      </c>
      <c r="I30" s="10">
        <v>45</v>
      </c>
      <c r="J30" s="76">
        <v>50.9</v>
      </c>
      <c r="K30" s="2" t="s">
        <v>398</v>
      </c>
      <c r="L30" s="53">
        <v>50.9</v>
      </c>
      <c r="M30" s="80">
        <v>10448014</v>
      </c>
      <c r="N30" s="42" t="s">
        <v>461</v>
      </c>
      <c r="O30" s="82">
        <v>56.8</v>
      </c>
      <c r="P30" s="82">
        <v>45</v>
      </c>
      <c r="Q30" s="82">
        <v>50.9</v>
      </c>
      <c r="R30" s="84">
        <f t="shared" si="0"/>
        <v>0</v>
      </c>
    </row>
    <row r="31" spans="1:18" x14ac:dyDescent="0.35">
      <c r="A31" s="41">
        <v>10674185</v>
      </c>
      <c r="B31" s="42" t="s">
        <v>196</v>
      </c>
      <c r="C31" s="11">
        <v>58</v>
      </c>
      <c r="D31" s="11">
        <v>71</v>
      </c>
      <c r="E31" s="3"/>
      <c r="F31" s="18">
        <v>10674185</v>
      </c>
      <c r="G31" s="9" t="s">
        <v>373</v>
      </c>
      <c r="H31" s="10">
        <v>58.2</v>
      </c>
      <c r="I31" s="10">
        <v>71</v>
      </c>
      <c r="J31" s="76">
        <v>64.599999999999994</v>
      </c>
      <c r="K31" s="2" t="s">
        <v>398</v>
      </c>
      <c r="L31" s="53">
        <v>64.599999999999994</v>
      </c>
      <c r="M31" s="80">
        <v>10674185</v>
      </c>
      <c r="N31" s="42" t="s">
        <v>484</v>
      </c>
      <c r="O31" s="82">
        <v>58</v>
      </c>
      <c r="P31" s="82">
        <v>71</v>
      </c>
      <c r="Q31" s="82">
        <v>64.5</v>
      </c>
      <c r="R31" s="84">
        <f t="shared" si="0"/>
        <v>-0.1</v>
      </c>
    </row>
    <row r="32" spans="1:18" x14ac:dyDescent="0.35">
      <c r="A32" s="41">
        <v>10448003</v>
      </c>
      <c r="B32" s="42" t="s">
        <v>227</v>
      </c>
      <c r="C32" s="11">
        <v>65</v>
      </c>
      <c r="D32" s="11">
        <v>35</v>
      </c>
      <c r="E32" s="3"/>
      <c r="F32" s="18">
        <v>10448003</v>
      </c>
      <c r="G32" s="9" t="s">
        <v>374</v>
      </c>
      <c r="H32" s="10">
        <v>65.2</v>
      </c>
      <c r="I32" s="10">
        <v>35</v>
      </c>
      <c r="J32" s="76">
        <v>50.1</v>
      </c>
      <c r="K32" s="2" t="s">
        <v>398</v>
      </c>
      <c r="L32" s="53">
        <v>50.1</v>
      </c>
      <c r="M32" s="80">
        <v>10448003</v>
      </c>
      <c r="N32" s="42" t="s">
        <v>513</v>
      </c>
      <c r="O32" s="82">
        <v>65</v>
      </c>
      <c r="P32" s="82">
        <v>35</v>
      </c>
      <c r="Q32" s="82">
        <v>50</v>
      </c>
      <c r="R32" s="84">
        <f t="shared" si="0"/>
        <v>-0.1</v>
      </c>
    </row>
    <row r="33" spans="1:18" x14ac:dyDescent="0.35">
      <c r="A33" s="41">
        <v>10674233</v>
      </c>
      <c r="B33" s="42" t="s">
        <v>177</v>
      </c>
      <c r="C33" s="11">
        <v>68</v>
      </c>
      <c r="D33" s="11">
        <v>59</v>
      </c>
      <c r="E33" s="3"/>
      <c r="F33" s="18">
        <v>10674233</v>
      </c>
      <c r="G33" s="9" t="s">
        <v>336</v>
      </c>
      <c r="H33" s="10">
        <v>68</v>
      </c>
      <c r="I33" s="10">
        <v>59</v>
      </c>
      <c r="J33" s="76">
        <v>63.5</v>
      </c>
      <c r="K33" s="2" t="s">
        <v>398</v>
      </c>
      <c r="L33" s="53">
        <v>63.5</v>
      </c>
      <c r="M33" s="80">
        <v>10674233</v>
      </c>
      <c r="N33" s="42" t="s">
        <v>466</v>
      </c>
      <c r="O33" s="82">
        <v>68</v>
      </c>
      <c r="P33" s="82">
        <v>59</v>
      </c>
      <c r="Q33" s="82">
        <v>63.5</v>
      </c>
      <c r="R33" s="84">
        <f t="shared" si="0"/>
        <v>0</v>
      </c>
    </row>
    <row r="34" spans="1:18" x14ac:dyDescent="0.35">
      <c r="A34" s="41">
        <v>10674369</v>
      </c>
      <c r="B34" s="42" t="s">
        <v>201</v>
      </c>
      <c r="C34" s="11">
        <v>63</v>
      </c>
      <c r="D34" s="11">
        <v>59</v>
      </c>
      <c r="E34" s="3"/>
      <c r="F34" s="18">
        <v>10674369</v>
      </c>
      <c r="G34" s="9" t="s">
        <v>379</v>
      </c>
      <c r="H34" s="10">
        <v>63</v>
      </c>
      <c r="I34" s="10">
        <v>59</v>
      </c>
      <c r="J34" s="76">
        <v>61</v>
      </c>
      <c r="K34" s="2" t="s">
        <v>398</v>
      </c>
      <c r="L34" s="53">
        <v>61</v>
      </c>
      <c r="M34" s="80">
        <v>10674369</v>
      </c>
      <c r="N34" s="42" t="s">
        <v>490</v>
      </c>
      <c r="O34" s="82">
        <v>63</v>
      </c>
      <c r="P34" s="82">
        <v>59</v>
      </c>
      <c r="Q34" s="82">
        <v>61</v>
      </c>
      <c r="R34" s="84">
        <f t="shared" si="0"/>
        <v>0</v>
      </c>
    </row>
    <row r="35" spans="1:18" x14ac:dyDescent="0.35">
      <c r="A35" s="41">
        <v>10674347</v>
      </c>
      <c r="B35" s="42" t="s">
        <v>202</v>
      </c>
      <c r="C35" s="11">
        <v>64.8</v>
      </c>
      <c r="D35" s="11">
        <v>64</v>
      </c>
      <c r="E35" s="3"/>
      <c r="F35" s="18">
        <v>10674347</v>
      </c>
      <c r="G35" s="9" t="s">
        <v>380</v>
      </c>
      <c r="H35" s="10">
        <v>64.8</v>
      </c>
      <c r="I35" s="10">
        <v>64</v>
      </c>
      <c r="J35" s="76">
        <v>64.400000000000006</v>
      </c>
      <c r="K35" s="2" t="s">
        <v>398</v>
      </c>
      <c r="L35" s="53">
        <v>64.400000000000006</v>
      </c>
      <c r="M35" s="80">
        <v>10674347</v>
      </c>
      <c r="N35" s="42" t="s">
        <v>491</v>
      </c>
      <c r="O35" s="82">
        <v>64.8</v>
      </c>
      <c r="P35" s="82">
        <v>64</v>
      </c>
      <c r="Q35" s="82">
        <v>64.400000000000006</v>
      </c>
      <c r="R35" s="84">
        <f t="shared" si="0"/>
        <v>0</v>
      </c>
    </row>
    <row r="36" spans="1:18" x14ac:dyDescent="0.35">
      <c r="A36" s="41">
        <v>10447877</v>
      </c>
      <c r="B36" s="42" t="s">
        <v>181</v>
      </c>
      <c r="C36" s="11">
        <v>71</v>
      </c>
      <c r="D36" s="11">
        <v>59</v>
      </c>
      <c r="E36" s="3"/>
      <c r="F36" s="18">
        <v>10447877</v>
      </c>
      <c r="G36" s="9" t="s">
        <v>340</v>
      </c>
      <c r="H36" s="10">
        <v>71</v>
      </c>
      <c r="I36" s="10">
        <v>59</v>
      </c>
      <c r="J36" s="76">
        <v>65</v>
      </c>
      <c r="K36" s="2" t="s">
        <v>398</v>
      </c>
      <c r="L36" s="53">
        <v>65</v>
      </c>
      <c r="M36" s="80">
        <v>10447877</v>
      </c>
      <c r="N36" s="42" t="s">
        <v>470</v>
      </c>
      <c r="O36" s="82">
        <v>71</v>
      </c>
      <c r="P36" s="82">
        <v>59</v>
      </c>
      <c r="Q36" s="82">
        <v>65</v>
      </c>
      <c r="R36" s="84">
        <f t="shared" si="0"/>
        <v>0</v>
      </c>
    </row>
    <row r="37" spans="1:18" x14ac:dyDescent="0.35">
      <c r="A37" s="41">
        <v>10447903</v>
      </c>
      <c r="B37" s="42" t="s">
        <v>182</v>
      </c>
      <c r="C37" s="11">
        <v>63</v>
      </c>
      <c r="D37" s="11">
        <v>40</v>
      </c>
      <c r="E37" s="3"/>
      <c r="F37" s="18">
        <v>10447903</v>
      </c>
      <c r="G37" s="9" t="s">
        <v>341</v>
      </c>
      <c r="H37" s="10">
        <v>63</v>
      </c>
      <c r="I37" s="10">
        <v>40</v>
      </c>
      <c r="J37" s="76">
        <v>51.5</v>
      </c>
      <c r="K37" s="2" t="s">
        <v>398</v>
      </c>
      <c r="L37" s="53">
        <v>51.5</v>
      </c>
      <c r="M37" s="80">
        <v>10447903</v>
      </c>
      <c r="N37" s="42" t="s">
        <v>471</v>
      </c>
      <c r="O37" s="82">
        <v>63</v>
      </c>
      <c r="P37" s="82">
        <v>40</v>
      </c>
      <c r="Q37" s="82">
        <v>51.5</v>
      </c>
      <c r="R37" s="84">
        <f t="shared" si="0"/>
        <v>0</v>
      </c>
    </row>
    <row r="38" spans="1:18" x14ac:dyDescent="0.35">
      <c r="A38" s="41">
        <v>10674440</v>
      </c>
      <c r="B38" s="42" t="s">
        <v>231</v>
      </c>
      <c r="C38" s="11">
        <v>71</v>
      </c>
      <c r="D38" s="11">
        <v>54</v>
      </c>
      <c r="E38" s="3"/>
      <c r="F38" s="18">
        <v>10674440</v>
      </c>
      <c r="G38" s="9" t="s">
        <v>381</v>
      </c>
      <c r="H38" s="10">
        <v>71.2</v>
      </c>
      <c r="I38" s="10">
        <v>54</v>
      </c>
      <c r="J38" s="76">
        <v>62.6</v>
      </c>
      <c r="K38" s="2" t="s">
        <v>398</v>
      </c>
      <c r="L38" s="53">
        <v>62.6</v>
      </c>
      <c r="M38" s="80">
        <v>10674440</v>
      </c>
      <c r="N38" s="42" t="s">
        <v>519</v>
      </c>
      <c r="O38" s="82">
        <v>71</v>
      </c>
      <c r="P38" s="82">
        <v>54</v>
      </c>
      <c r="Q38" s="82">
        <v>62.5</v>
      </c>
      <c r="R38" s="84">
        <f t="shared" si="0"/>
        <v>-0.1</v>
      </c>
    </row>
    <row r="39" spans="1:18" x14ac:dyDescent="0.35">
      <c r="A39" s="41">
        <v>10674277</v>
      </c>
      <c r="B39" s="42" t="s">
        <v>233</v>
      </c>
      <c r="C39" s="11">
        <v>53</v>
      </c>
      <c r="D39" s="11">
        <v>38</v>
      </c>
      <c r="E39" s="3"/>
      <c r="F39" s="18">
        <v>10674277</v>
      </c>
      <c r="G39" s="9" t="s">
        <v>383</v>
      </c>
      <c r="H39" s="10">
        <v>53.2</v>
      </c>
      <c r="I39" s="10">
        <v>38</v>
      </c>
      <c r="J39" s="76">
        <v>45.6</v>
      </c>
      <c r="K39" s="2" t="s">
        <v>398</v>
      </c>
      <c r="L39" s="53">
        <v>45.6</v>
      </c>
      <c r="M39" s="80">
        <v>10674277</v>
      </c>
      <c r="N39" s="42" t="s">
        <v>516</v>
      </c>
      <c r="O39" s="82">
        <v>53</v>
      </c>
      <c r="P39" s="82">
        <v>38</v>
      </c>
      <c r="Q39" s="82">
        <v>45.5</v>
      </c>
      <c r="R39" s="84">
        <f t="shared" si="0"/>
        <v>-0.1</v>
      </c>
    </row>
    <row r="40" spans="1:18" x14ac:dyDescent="0.35">
      <c r="A40" s="41">
        <v>8881724</v>
      </c>
      <c r="B40" s="42" t="s">
        <v>236</v>
      </c>
      <c r="C40" s="11" t="s">
        <v>141</v>
      </c>
      <c r="D40" s="11" t="s">
        <v>141</v>
      </c>
      <c r="E40" s="3" t="s">
        <v>150</v>
      </c>
      <c r="F40" s="18">
        <v>8881724</v>
      </c>
      <c r="G40" s="9" t="s">
        <v>384</v>
      </c>
      <c r="H40" s="10">
        <v>0</v>
      </c>
      <c r="I40" s="10">
        <v>0</v>
      </c>
      <c r="J40" s="76">
        <v>0</v>
      </c>
      <c r="K40" s="2" t="s">
        <v>398</v>
      </c>
      <c r="L40" s="53">
        <v>0</v>
      </c>
      <c r="M40" s="80">
        <v>8881724</v>
      </c>
      <c r="N40" s="42" t="s">
        <v>521</v>
      </c>
      <c r="O40" s="82" t="s">
        <v>141</v>
      </c>
      <c r="P40" s="82" t="s">
        <v>141</v>
      </c>
      <c r="Q40" s="82">
        <v>0</v>
      </c>
      <c r="R40" s="84">
        <f t="shared" si="0"/>
        <v>0</v>
      </c>
    </row>
    <row r="41" spans="1:18" hidden="1" x14ac:dyDescent="0.35">
      <c r="A41" s="41"/>
      <c r="B41" s="42"/>
      <c r="C41" s="11"/>
      <c r="D41" s="11"/>
      <c r="E41" s="3"/>
      <c r="F41" s="18"/>
      <c r="G41" s="9"/>
      <c r="H41" s="10">
        <v>0</v>
      </c>
      <c r="I41" s="10">
        <v>0</v>
      </c>
      <c r="J41" s="76">
        <v>0</v>
      </c>
      <c r="K41" s="2" t="str">
        <f t="shared" ref="K41:K73" si="1">IF(I41="-", IF(J41&lt;$K$6, "Failed!", "pass"), IF(AND(H41&gt;=$J$6, I41&gt;=$J$6, J41&gt;=$K$6), "pass", "Failed!"))</f>
        <v>Failed!</v>
      </c>
      <c r="L41" s="53">
        <f>ROUND(H41 - C41, 2)</f>
        <v>0</v>
      </c>
      <c r="M41" s="80"/>
      <c r="N41" s="42"/>
      <c r="O41" s="82"/>
      <c r="P41" s="82"/>
      <c r="Q41" s="82"/>
    </row>
    <row r="42" spans="1:18" hidden="1" x14ac:dyDescent="0.35">
      <c r="A42" s="41"/>
      <c r="B42" s="42"/>
      <c r="C42" s="11"/>
      <c r="D42" s="11"/>
      <c r="E42" s="3"/>
      <c r="F42" s="18"/>
      <c r="G42" s="9"/>
      <c r="H42" s="10"/>
      <c r="I42" s="10"/>
      <c r="J42" s="76"/>
      <c r="K42" s="2" t="str">
        <f t="shared" si="1"/>
        <v>Failed!</v>
      </c>
      <c r="L42" s="53"/>
      <c r="M42" s="80"/>
      <c r="N42" s="42"/>
      <c r="O42" s="82"/>
      <c r="P42" s="82"/>
      <c r="Q42" s="82"/>
    </row>
    <row r="43" spans="1:18" hidden="1" x14ac:dyDescent="0.35">
      <c r="A43" s="41"/>
      <c r="B43" s="42"/>
      <c r="C43" s="11"/>
      <c r="D43" s="11"/>
      <c r="E43" s="3"/>
      <c r="F43" s="18"/>
      <c r="G43" s="9"/>
      <c r="H43" s="10"/>
      <c r="I43" s="10"/>
      <c r="J43" s="76"/>
      <c r="K43" s="2" t="str">
        <f t="shared" si="1"/>
        <v>Failed!</v>
      </c>
      <c r="L43" s="53"/>
      <c r="M43" s="80"/>
      <c r="N43" s="42"/>
      <c r="O43" s="82"/>
      <c r="P43" s="82"/>
      <c r="Q43" s="82"/>
    </row>
    <row r="44" spans="1:18" hidden="1" x14ac:dyDescent="0.35">
      <c r="A44" s="41"/>
      <c r="B44" s="42"/>
      <c r="C44" s="11"/>
      <c r="D44" s="11"/>
      <c r="E44" s="3"/>
      <c r="F44" s="18"/>
      <c r="G44" s="9"/>
      <c r="H44" s="10"/>
      <c r="I44" s="10"/>
      <c r="J44" s="76"/>
      <c r="K44" s="2" t="str">
        <f t="shared" si="1"/>
        <v>Failed!</v>
      </c>
      <c r="L44" s="53"/>
      <c r="M44" s="80"/>
      <c r="N44" s="42"/>
      <c r="O44" s="82"/>
      <c r="P44" s="82"/>
      <c r="Q44" s="82"/>
    </row>
    <row r="45" spans="1:18" hidden="1" x14ac:dyDescent="0.35">
      <c r="A45" s="41"/>
      <c r="B45" s="42"/>
      <c r="C45" s="11"/>
      <c r="D45" s="11"/>
      <c r="E45" s="3"/>
      <c r="F45" s="18"/>
      <c r="G45" s="9"/>
      <c r="H45" s="10"/>
      <c r="I45" s="10"/>
      <c r="J45" s="76"/>
      <c r="K45" s="2" t="str">
        <f t="shared" si="1"/>
        <v>Failed!</v>
      </c>
      <c r="L45" s="53"/>
      <c r="M45" s="80"/>
      <c r="N45" s="42"/>
      <c r="O45" s="82"/>
      <c r="P45" s="82"/>
      <c r="Q45" s="82"/>
    </row>
    <row r="46" spans="1:18" hidden="1" x14ac:dyDescent="0.35">
      <c r="A46" s="41"/>
      <c r="B46" s="42"/>
      <c r="C46" s="11"/>
      <c r="D46" s="11"/>
      <c r="E46" s="3"/>
      <c r="F46" s="18"/>
      <c r="G46" s="9"/>
      <c r="H46" s="10"/>
      <c r="I46" s="10"/>
      <c r="J46" s="76"/>
      <c r="K46" s="2" t="str">
        <f t="shared" si="1"/>
        <v>Failed!</v>
      </c>
      <c r="L46" s="53"/>
      <c r="M46" s="80"/>
      <c r="N46" s="42"/>
      <c r="O46" s="82"/>
      <c r="P46" s="82"/>
      <c r="Q46" s="82"/>
    </row>
    <row r="47" spans="1:18" hidden="1" x14ac:dyDescent="0.35">
      <c r="A47" s="41"/>
      <c r="B47" s="42"/>
      <c r="C47" s="11"/>
      <c r="D47" s="11"/>
      <c r="E47" s="3"/>
      <c r="F47" s="18"/>
      <c r="G47" s="9"/>
      <c r="H47" s="10"/>
      <c r="I47" s="10"/>
      <c r="J47" s="76"/>
      <c r="K47" s="2" t="str">
        <f t="shared" si="1"/>
        <v>Failed!</v>
      </c>
      <c r="L47" s="53"/>
      <c r="M47" s="80"/>
      <c r="N47" s="42"/>
      <c r="O47" s="82"/>
      <c r="P47" s="82"/>
      <c r="Q47" s="82"/>
    </row>
    <row r="48" spans="1:18"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31</v>
      </c>
      <c r="G90" s="2" t="s">
        <v>14</v>
      </c>
      <c r="H90" s="40">
        <f>MAX(H10:H88)</f>
        <v>82.4</v>
      </c>
      <c r="I90" s="40">
        <f>MAX(I10:I88)</f>
        <v>89</v>
      </c>
      <c r="J90" s="40">
        <f>MAX(L10:L88)</f>
        <v>83.4</v>
      </c>
      <c r="M90" s="4"/>
    </row>
    <row r="91" spans="1:17" x14ac:dyDescent="0.35">
      <c r="G91" s="2" t="s">
        <v>12</v>
      </c>
      <c r="H91" s="40">
        <f>AVERAGE(H10:H88)</f>
        <v>61.331250000000004</v>
      </c>
      <c r="I91" s="40">
        <f>AVERAGE(I10:I88)</f>
        <v>53.15625</v>
      </c>
      <c r="J91" s="40">
        <f>AVERAGE(L10:L88)</f>
        <v>57.243749999999999</v>
      </c>
      <c r="M91" s="4"/>
    </row>
    <row r="92" spans="1:17" x14ac:dyDescent="0.35">
      <c r="G92" s="2" t="s">
        <v>15</v>
      </c>
      <c r="H92" s="40">
        <f>MIN(H10:H88)</f>
        <v>0</v>
      </c>
      <c r="I92" s="40">
        <f>MIN(I10:I88)</f>
        <v>0</v>
      </c>
      <c r="J92" s="40">
        <f>MIN(L10:L88)</f>
        <v>0</v>
      </c>
      <c r="M92" s="4"/>
    </row>
    <row r="93" spans="1:17" x14ac:dyDescent="0.35">
      <c r="G93" s="2" t="s">
        <v>13</v>
      </c>
      <c r="H93" s="40">
        <f>STDEV(H10:H88)</f>
        <v>18.126908130927813</v>
      </c>
      <c r="I93" s="40">
        <f>STDEV(I10:I88)</f>
        <v>20.90857113181562</v>
      </c>
      <c r="J93" s="40">
        <f>STDEV(L10:L88)</f>
        <v>18.648928664204277</v>
      </c>
      <c r="M93" s="4"/>
    </row>
    <row r="94" spans="1:17" x14ac:dyDescent="0.35">
      <c r="G94" s="2" t="str">
        <f>"Failed count ( &lt; " &amp; K6 &amp; " )"</f>
        <v>Failed count ( &lt; 40 )</v>
      </c>
      <c r="H94" s="50">
        <f>COUNTIF(H10:H88, "&lt;40")</f>
        <v>2</v>
      </c>
      <c r="I94" s="50">
        <f>COUNTIF(I10:I88, "&lt;40")</f>
        <v>6</v>
      </c>
      <c r="J94" s="50">
        <f>COUNTIF(L10:L88, "&lt;40")</f>
        <v>2</v>
      </c>
      <c r="M94" s="4"/>
    </row>
    <row r="95" spans="1:17" x14ac:dyDescent="0.35">
      <c r="G95" s="2" t="s">
        <v>16</v>
      </c>
      <c r="H95" s="49">
        <f>1-H94/$F90</f>
        <v>0.93548387096774199</v>
      </c>
      <c r="I95" s="49">
        <f>1-I94/$F90</f>
        <v>0.80645161290322576</v>
      </c>
      <c r="J95" s="49">
        <f>1-J94/$F90</f>
        <v>0.93548387096774199</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21" priority="1" operator="lessThan">
      <formula>$K$6</formula>
    </cfRule>
  </conditionalFormatting>
  <conditionalFormatting sqref="F10:I88">
    <cfRule type="expression" dxfId="20" priority="2" stopIfTrue="1">
      <formula>F10=A10</formula>
    </cfRule>
    <cfRule type="expression" dxfId="19" priority="3" stopIfTrue="1">
      <formula>F10&lt;&gt;A10</formula>
    </cfRule>
  </conditionalFormatting>
  <conditionalFormatting sqref="M10:Q40">
    <cfRule type="expression" dxfId="18" priority="4" stopIfTrue="1">
      <formula>M10=F10</formula>
    </cfRule>
    <cfRule type="expression" dxfId="1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79874"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79875"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R109"/>
  <sheetViews>
    <sheetView zoomScaleNormal="100" workbookViewId="0">
      <pane xSplit="1" ySplit="9" topLeftCell="J10" activePane="bottomRight" state="frozen"/>
      <selection activeCell="E16" sqref="E16"/>
      <selection pane="topRight" activeCell="E16" sqref="E16"/>
      <selection pane="bottomLeft" activeCell="E16" sqref="E16"/>
      <selection pane="bottomRight" activeCell="J89" sqref="J89"/>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17</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237</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238</v>
      </c>
      <c r="C5" s="14"/>
      <c r="D5" s="16"/>
      <c r="F5" s="59" t="s">
        <v>38</v>
      </c>
      <c r="L5" s="52"/>
      <c r="M5" s="47" t="s">
        <v>49</v>
      </c>
    </row>
    <row r="6" spans="1:18" x14ac:dyDescent="0.35">
      <c r="A6" s="20" t="s">
        <v>37</v>
      </c>
      <c r="B6" s="13" t="s">
        <v>68</v>
      </c>
      <c r="C6" s="14"/>
      <c r="D6" s="16"/>
      <c r="F6" s="59" t="s">
        <v>54</v>
      </c>
      <c r="J6" s="70">
        <v>35</v>
      </c>
      <c r="K6" s="70">
        <v>40</v>
      </c>
      <c r="L6" s="52"/>
      <c r="N6" s="51" t="str">
        <f>B5&amp;".pdf"</f>
        <v>370CT.pdf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10447958</v>
      </c>
      <c r="B10" s="42" t="s">
        <v>210</v>
      </c>
      <c r="C10" s="11">
        <v>58</v>
      </c>
      <c r="D10" s="11">
        <v>63</v>
      </c>
      <c r="E10" s="3"/>
      <c r="F10" s="18">
        <v>10447958</v>
      </c>
      <c r="G10" s="9" t="s">
        <v>355</v>
      </c>
      <c r="H10" s="10">
        <v>58</v>
      </c>
      <c r="I10" s="10">
        <v>63</v>
      </c>
      <c r="J10" s="76">
        <v>60.5</v>
      </c>
      <c r="K10" s="2" t="s">
        <v>398</v>
      </c>
      <c r="L10" s="53">
        <v>60.5</v>
      </c>
      <c r="M10" s="80">
        <v>10447958</v>
      </c>
      <c r="N10" s="42" t="s">
        <v>497</v>
      </c>
      <c r="O10" s="82">
        <v>58</v>
      </c>
      <c r="P10" s="82">
        <v>63</v>
      </c>
      <c r="Q10" s="82">
        <v>60.5</v>
      </c>
      <c r="R10" s="84">
        <f t="shared" ref="R10:R26" si="0">ROUND(Q10 - ABS(J10), 2)</f>
        <v>0</v>
      </c>
    </row>
    <row r="11" spans="1:18" x14ac:dyDescent="0.35">
      <c r="A11" s="41">
        <v>10674060</v>
      </c>
      <c r="B11" s="43" t="s">
        <v>212</v>
      </c>
      <c r="C11" s="11">
        <v>56</v>
      </c>
      <c r="D11" s="11">
        <v>68</v>
      </c>
      <c r="E11" s="3"/>
      <c r="F11" s="18">
        <v>10674060</v>
      </c>
      <c r="G11" s="9" t="s">
        <v>357</v>
      </c>
      <c r="H11" s="10">
        <v>56</v>
      </c>
      <c r="I11" s="10">
        <v>68</v>
      </c>
      <c r="J11" s="76">
        <v>62</v>
      </c>
      <c r="K11" s="2" t="s">
        <v>398</v>
      </c>
      <c r="L11" s="53">
        <v>62</v>
      </c>
      <c r="M11" s="80">
        <v>10674060</v>
      </c>
      <c r="N11" s="42" t="s">
        <v>504</v>
      </c>
      <c r="O11" s="82">
        <v>56</v>
      </c>
      <c r="P11" s="82">
        <v>68</v>
      </c>
      <c r="Q11" s="82">
        <v>62</v>
      </c>
      <c r="R11" s="84">
        <f t="shared" si="0"/>
        <v>0</v>
      </c>
    </row>
    <row r="12" spans="1:18" x14ac:dyDescent="0.35">
      <c r="A12" s="41">
        <v>10674048</v>
      </c>
      <c r="B12" s="42" t="s">
        <v>213</v>
      </c>
      <c r="C12" s="11">
        <v>56</v>
      </c>
      <c r="D12" s="11">
        <v>57</v>
      </c>
      <c r="E12" s="3"/>
      <c r="F12" s="18">
        <v>10674048</v>
      </c>
      <c r="G12" s="9" t="s">
        <v>359</v>
      </c>
      <c r="H12" s="10">
        <v>56</v>
      </c>
      <c r="I12" s="10">
        <v>57</v>
      </c>
      <c r="J12" s="76">
        <v>56.5</v>
      </c>
      <c r="K12" s="2" t="s">
        <v>398</v>
      </c>
      <c r="L12" s="53">
        <v>56.5</v>
      </c>
      <c r="M12" s="80">
        <v>10674048</v>
      </c>
      <c r="N12" s="42" t="s">
        <v>499</v>
      </c>
      <c r="O12" s="82">
        <v>56</v>
      </c>
      <c r="P12" s="82">
        <v>57</v>
      </c>
      <c r="Q12" s="82">
        <v>56.5</v>
      </c>
      <c r="R12" s="84">
        <f t="shared" si="0"/>
        <v>0</v>
      </c>
    </row>
    <row r="13" spans="1:18" x14ac:dyDescent="0.35">
      <c r="A13" s="41">
        <v>10674037</v>
      </c>
      <c r="B13" s="42" t="s">
        <v>214</v>
      </c>
      <c r="C13" s="11">
        <v>65</v>
      </c>
      <c r="D13" s="11">
        <v>52</v>
      </c>
      <c r="E13" s="3"/>
      <c r="F13" s="18">
        <v>10674037</v>
      </c>
      <c r="G13" s="9" t="s">
        <v>360</v>
      </c>
      <c r="H13" s="10">
        <v>65</v>
      </c>
      <c r="I13" s="10">
        <v>52</v>
      </c>
      <c r="J13" s="76">
        <v>58.5</v>
      </c>
      <c r="K13" s="2" t="s">
        <v>398</v>
      </c>
      <c r="L13" s="53">
        <v>58.5</v>
      </c>
      <c r="M13" s="80">
        <v>10674037</v>
      </c>
      <c r="N13" s="42" t="s">
        <v>500</v>
      </c>
      <c r="O13" s="82">
        <v>65</v>
      </c>
      <c r="P13" s="82">
        <v>52</v>
      </c>
      <c r="Q13" s="82">
        <v>58.5</v>
      </c>
      <c r="R13" s="84">
        <f t="shared" si="0"/>
        <v>0</v>
      </c>
    </row>
    <row r="14" spans="1:18" x14ac:dyDescent="0.35">
      <c r="A14" s="41">
        <v>10447969</v>
      </c>
      <c r="B14" s="42" t="s">
        <v>216</v>
      </c>
      <c r="C14" s="11">
        <v>75</v>
      </c>
      <c r="D14" s="11">
        <v>44</v>
      </c>
      <c r="E14" s="3"/>
      <c r="F14" s="18">
        <v>10447969</v>
      </c>
      <c r="G14" s="9" t="s">
        <v>362</v>
      </c>
      <c r="H14" s="10">
        <v>75</v>
      </c>
      <c r="I14" s="10">
        <v>44</v>
      </c>
      <c r="J14" s="76">
        <v>59.5</v>
      </c>
      <c r="K14" s="2" t="s">
        <v>398</v>
      </c>
      <c r="L14" s="53">
        <v>59.5</v>
      </c>
      <c r="M14" s="80">
        <v>10447969</v>
      </c>
      <c r="N14" s="42" t="s">
        <v>502</v>
      </c>
      <c r="O14" s="82">
        <v>75</v>
      </c>
      <c r="P14" s="82">
        <v>44</v>
      </c>
      <c r="Q14" s="82">
        <v>59.5</v>
      </c>
      <c r="R14" s="84">
        <f t="shared" si="0"/>
        <v>0</v>
      </c>
    </row>
    <row r="15" spans="1:18" x14ac:dyDescent="0.35">
      <c r="A15" s="41">
        <v>9546022</v>
      </c>
      <c r="B15" s="42" t="s">
        <v>169</v>
      </c>
      <c r="C15" s="11">
        <v>76</v>
      </c>
      <c r="D15" s="11">
        <v>85</v>
      </c>
      <c r="E15" s="3"/>
      <c r="F15" s="18">
        <v>9546022</v>
      </c>
      <c r="G15" s="9" t="s">
        <v>328</v>
      </c>
      <c r="H15" s="10">
        <v>76</v>
      </c>
      <c r="I15" s="10">
        <v>85</v>
      </c>
      <c r="J15" s="76">
        <v>80.5</v>
      </c>
      <c r="K15" s="2" t="s">
        <v>398</v>
      </c>
      <c r="L15" s="53">
        <v>80.5</v>
      </c>
      <c r="M15" s="80">
        <v>9546022</v>
      </c>
      <c r="N15" s="42" t="s">
        <v>453</v>
      </c>
      <c r="O15" s="82">
        <v>76</v>
      </c>
      <c r="P15" s="82">
        <v>85</v>
      </c>
      <c r="Q15" s="82">
        <v>80.5</v>
      </c>
      <c r="R15" s="84">
        <f t="shared" si="0"/>
        <v>0</v>
      </c>
    </row>
    <row r="16" spans="1:18" x14ac:dyDescent="0.35">
      <c r="A16" s="41">
        <v>10674093</v>
      </c>
      <c r="B16" s="42" t="s">
        <v>219</v>
      </c>
      <c r="C16" s="11">
        <v>80</v>
      </c>
      <c r="D16" s="11">
        <v>53</v>
      </c>
      <c r="E16" s="3"/>
      <c r="F16" s="18">
        <v>10674093</v>
      </c>
      <c r="G16" s="9" t="s">
        <v>365</v>
      </c>
      <c r="H16" s="10">
        <v>80</v>
      </c>
      <c r="I16" s="10">
        <v>53</v>
      </c>
      <c r="J16" s="76">
        <v>66.5</v>
      </c>
      <c r="K16" s="2" t="s">
        <v>398</v>
      </c>
      <c r="L16" s="53">
        <v>66.5</v>
      </c>
      <c r="M16" s="80">
        <v>10674093</v>
      </c>
      <c r="N16" s="42" t="s">
        <v>505</v>
      </c>
      <c r="O16" s="82">
        <v>80</v>
      </c>
      <c r="P16" s="82">
        <v>53</v>
      </c>
      <c r="Q16" s="82">
        <v>66.5</v>
      </c>
      <c r="R16" s="84">
        <f t="shared" si="0"/>
        <v>0</v>
      </c>
    </row>
    <row r="17" spans="1:18" x14ac:dyDescent="0.35">
      <c r="A17" s="41">
        <v>10674118</v>
      </c>
      <c r="B17" s="42" t="s">
        <v>223</v>
      </c>
      <c r="C17" s="11">
        <v>65</v>
      </c>
      <c r="D17" s="11">
        <v>50</v>
      </c>
      <c r="E17" s="3"/>
      <c r="F17" s="18">
        <v>10674118</v>
      </c>
      <c r="G17" s="9" t="s">
        <v>369</v>
      </c>
      <c r="H17" s="10">
        <v>65</v>
      </c>
      <c r="I17" s="10">
        <v>50</v>
      </c>
      <c r="J17" s="76">
        <v>57.5</v>
      </c>
      <c r="K17" s="2" t="s">
        <v>398</v>
      </c>
      <c r="L17" s="53">
        <v>57.5</v>
      </c>
      <c r="M17" s="80">
        <v>10674118</v>
      </c>
      <c r="N17" s="42" t="s">
        <v>509</v>
      </c>
      <c r="O17" s="82">
        <v>65</v>
      </c>
      <c r="P17" s="82">
        <v>50</v>
      </c>
      <c r="Q17" s="82">
        <v>57.5</v>
      </c>
      <c r="R17" s="84">
        <f t="shared" si="0"/>
        <v>0</v>
      </c>
    </row>
    <row r="18" spans="1:18" x14ac:dyDescent="0.35">
      <c r="A18" s="41">
        <v>10674141</v>
      </c>
      <c r="B18" s="42" t="s">
        <v>224</v>
      </c>
      <c r="C18" s="11">
        <v>56</v>
      </c>
      <c r="D18" s="11">
        <v>45</v>
      </c>
      <c r="E18" s="3"/>
      <c r="F18" s="18">
        <v>10674141</v>
      </c>
      <c r="G18" s="9" t="s">
        <v>370</v>
      </c>
      <c r="H18" s="10">
        <v>56</v>
      </c>
      <c r="I18" s="10">
        <v>45</v>
      </c>
      <c r="J18" s="76">
        <v>50.5</v>
      </c>
      <c r="K18" s="2" t="s">
        <v>398</v>
      </c>
      <c r="L18" s="53">
        <v>50.5</v>
      </c>
      <c r="M18" s="80">
        <v>10674141</v>
      </c>
      <c r="N18" s="42" t="s">
        <v>510</v>
      </c>
      <c r="O18" s="82">
        <v>56</v>
      </c>
      <c r="P18" s="82">
        <v>45</v>
      </c>
      <c r="Q18" s="82">
        <v>50.5</v>
      </c>
      <c r="R18" s="84">
        <f t="shared" si="0"/>
        <v>0</v>
      </c>
    </row>
    <row r="19" spans="1:18" x14ac:dyDescent="0.35">
      <c r="A19" s="41">
        <v>10674163</v>
      </c>
      <c r="B19" s="42" t="s">
        <v>173</v>
      </c>
      <c r="C19" s="11">
        <v>67</v>
      </c>
      <c r="D19" s="11">
        <v>78</v>
      </c>
      <c r="E19" s="3"/>
      <c r="F19" s="18">
        <v>10674163</v>
      </c>
      <c r="G19" s="9" t="s">
        <v>332</v>
      </c>
      <c r="H19" s="10">
        <v>67</v>
      </c>
      <c r="I19" s="10">
        <v>78</v>
      </c>
      <c r="J19" s="76">
        <v>72.5</v>
      </c>
      <c r="K19" s="2" t="s">
        <v>398</v>
      </c>
      <c r="L19" s="53">
        <v>72.5</v>
      </c>
      <c r="M19" s="80">
        <v>10674163</v>
      </c>
      <c r="N19" s="42" t="s">
        <v>459</v>
      </c>
      <c r="O19" s="82">
        <v>67</v>
      </c>
      <c r="P19" s="82">
        <v>78</v>
      </c>
      <c r="Q19" s="82">
        <v>72.5</v>
      </c>
      <c r="R19" s="84">
        <f t="shared" si="0"/>
        <v>0</v>
      </c>
    </row>
    <row r="20" spans="1:18" x14ac:dyDescent="0.35">
      <c r="A20" s="41">
        <v>10674174</v>
      </c>
      <c r="B20" s="42" t="s">
        <v>174</v>
      </c>
      <c r="C20" s="11">
        <v>69</v>
      </c>
      <c r="D20" s="11">
        <v>79</v>
      </c>
      <c r="E20" s="3"/>
      <c r="F20" s="18">
        <v>10674174</v>
      </c>
      <c r="G20" s="9" t="s">
        <v>333</v>
      </c>
      <c r="H20" s="10">
        <v>69</v>
      </c>
      <c r="I20" s="10">
        <v>79</v>
      </c>
      <c r="J20" s="76">
        <v>74</v>
      </c>
      <c r="K20" s="2" t="s">
        <v>398</v>
      </c>
      <c r="L20" s="53">
        <v>74</v>
      </c>
      <c r="M20" s="80">
        <v>10674174</v>
      </c>
      <c r="N20" s="42" t="s">
        <v>460</v>
      </c>
      <c r="O20" s="82">
        <v>69</v>
      </c>
      <c r="P20" s="82">
        <v>79</v>
      </c>
      <c r="Q20" s="82">
        <v>74</v>
      </c>
      <c r="R20" s="84">
        <f t="shared" si="0"/>
        <v>0</v>
      </c>
    </row>
    <row r="21" spans="1:18" x14ac:dyDescent="0.35">
      <c r="A21" s="41">
        <v>10674211</v>
      </c>
      <c r="B21" s="42" t="s">
        <v>228</v>
      </c>
      <c r="C21" s="11">
        <v>74</v>
      </c>
      <c r="D21" s="11">
        <v>66</v>
      </c>
      <c r="E21" s="3"/>
      <c r="F21" s="18">
        <v>10674211</v>
      </c>
      <c r="G21" s="9" t="s">
        <v>375</v>
      </c>
      <c r="H21" s="10">
        <v>74</v>
      </c>
      <c r="I21" s="10">
        <v>66</v>
      </c>
      <c r="J21" s="76">
        <v>70</v>
      </c>
      <c r="K21" s="2" t="s">
        <v>398</v>
      </c>
      <c r="L21" s="53">
        <v>70</v>
      </c>
      <c r="M21" s="80">
        <v>10674211</v>
      </c>
      <c r="N21" s="42" t="s">
        <v>514</v>
      </c>
      <c r="O21" s="82">
        <v>74</v>
      </c>
      <c r="P21" s="82">
        <v>66</v>
      </c>
      <c r="Q21" s="82">
        <v>70</v>
      </c>
      <c r="R21" s="84">
        <f t="shared" si="0"/>
        <v>0</v>
      </c>
    </row>
    <row r="22" spans="1:18" x14ac:dyDescent="0.35">
      <c r="A22" s="41">
        <v>10447992</v>
      </c>
      <c r="B22" s="42" t="s">
        <v>199</v>
      </c>
      <c r="C22" s="11">
        <v>43</v>
      </c>
      <c r="D22" s="11">
        <v>59</v>
      </c>
      <c r="E22" s="3"/>
      <c r="F22" s="18">
        <v>10447992</v>
      </c>
      <c r="G22" s="9" t="s">
        <v>376</v>
      </c>
      <c r="H22" s="10">
        <v>43</v>
      </c>
      <c r="I22" s="10">
        <v>59</v>
      </c>
      <c r="J22" s="76">
        <v>51</v>
      </c>
      <c r="K22" s="2" t="s">
        <v>398</v>
      </c>
      <c r="L22" s="53">
        <v>51</v>
      </c>
      <c r="M22" s="80">
        <v>10447992</v>
      </c>
      <c r="N22" s="42" t="s">
        <v>485</v>
      </c>
      <c r="O22" s="82">
        <v>43</v>
      </c>
      <c r="P22" s="82">
        <v>59</v>
      </c>
      <c r="Q22" s="82">
        <v>51</v>
      </c>
      <c r="R22" s="84">
        <f t="shared" si="0"/>
        <v>0</v>
      </c>
    </row>
    <row r="23" spans="1:18" x14ac:dyDescent="0.35">
      <c r="A23" s="41">
        <v>10674417</v>
      </c>
      <c r="B23" s="42" t="s">
        <v>229</v>
      </c>
      <c r="C23" s="11">
        <v>67</v>
      </c>
      <c r="D23" s="11">
        <v>50</v>
      </c>
      <c r="E23" s="3"/>
      <c r="F23" s="18">
        <v>10674417</v>
      </c>
      <c r="G23" s="9" t="s">
        <v>377</v>
      </c>
      <c r="H23" s="10">
        <v>67</v>
      </c>
      <c r="I23" s="10">
        <v>50</v>
      </c>
      <c r="J23" s="76">
        <v>58.5</v>
      </c>
      <c r="K23" s="2" t="s">
        <v>398</v>
      </c>
      <c r="L23" s="53">
        <v>58.5</v>
      </c>
      <c r="M23" s="80">
        <v>10674417</v>
      </c>
      <c r="N23" s="42" t="s">
        <v>517</v>
      </c>
      <c r="O23" s="82">
        <v>67</v>
      </c>
      <c r="P23" s="82">
        <v>50</v>
      </c>
      <c r="Q23" s="82">
        <v>58.5</v>
      </c>
      <c r="R23" s="84">
        <f t="shared" si="0"/>
        <v>0</v>
      </c>
    </row>
    <row r="24" spans="1:18" x14ac:dyDescent="0.35">
      <c r="A24" s="41">
        <v>10674392</v>
      </c>
      <c r="B24" s="42" t="s">
        <v>230</v>
      </c>
      <c r="C24" s="11">
        <v>90</v>
      </c>
      <c r="D24" s="11">
        <v>84</v>
      </c>
      <c r="E24" s="3"/>
      <c r="F24" s="18">
        <v>10674392</v>
      </c>
      <c r="G24" s="9" t="s">
        <v>378</v>
      </c>
      <c r="H24" s="10">
        <v>90</v>
      </c>
      <c r="I24" s="10">
        <v>84</v>
      </c>
      <c r="J24" s="76">
        <v>87</v>
      </c>
      <c r="K24" s="2" t="s">
        <v>398</v>
      </c>
      <c r="L24" s="53">
        <v>87</v>
      </c>
      <c r="M24" s="80">
        <v>10674392</v>
      </c>
      <c r="N24" s="42" t="s">
        <v>518</v>
      </c>
      <c r="O24" s="82">
        <v>90</v>
      </c>
      <c r="P24" s="82">
        <v>84</v>
      </c>
      <c r="Q24" s="82">
        <v>87</v>
      </c>
      <c r="R24" s="84">
        <f t="shared" si="0"/>
        <v>0</v>
      </c>
    </row>
    <row r="25" spans="1:18" x14ac:dyDescent="0.35">
      <c r="A25" s="41">
        <v>8881724</v>
      </c>
      <c r="B25" s="42" t="s">
        <v>236</v>
      </c>
      <c r="C25" s="11" t="s">
        <v>141</v>
      </c>
      <c r="D25" s="11" t="s">
        <v>141</v>
      </c>
      <c r="E25" s="3" t="s">
        <v>150</v>
      </c>
      <c r="F25" s="18">
        <v>8881724</v>
      </c>
      <c r="G25" s="9" t="s">
        <v>384</v>
      </c>
      <c r="H25" s="10">
        <v>0</v>
      </c>
      <c r="I25" s="10">
        <v>0</v>
      </c>
      <c r="J25" s="76">
        <v>0</v>
      </c>
      <c r="K25" s="2" t="s">
        <v>398</v>
      </c>
      <c r="L25" s="53">
        <v>0</v>
      </c>
      <c r="M25" s="80">
        <v>8881724</v>
      </c>
      <c r="N25" s="42" t="s">
        <v>521</v>
      </c>
      <c r="O25" s="82" t="s">
        <v>141</v>
      </c>
      <c r="P25" s="82" t="s">
        <v>141</v>
      </c>
      <c r="Q25" s="82">
        <v>0</v>
      </c>
      <c r="R25" s="84">
        <f t="shared" si="0"/>
        <v>0</v>
      </c>
    </row>
    <row r="26" spans="1:18" x14ac:dyDescent="0.35">
      <c r="A26" s="41">
        <v>9546217</v>
      </c>
      <c r="B26" s="42" t="s">
        <v>239</v>
      </c>
      <c r="C26" s="11">
        <v>70</v>
      </c>
      <c r="D26" s="11">
        <v>44</v>
      </c>
      <c r="E26" s="3" t="s">
        <v>142</v>
      </c>
      <c r="F26" s="18">
        <v>9546217</v>
      </c>
      <c r="G26" s="9" t="s">
        <v>385</v>
      </c>
      <c r="H26" s="10">
        <v>70</v>
      </c>
      <c r="I26" s="10">
        <v>44</v>
      </c>
      <c r="J26" s="76">
        <v>57</v>
      </c>
      <c r="K26" s="2" t="s">
        <v>398</v>
      </c>
      <c r="L26" s="53">
        <v>0</v>
      </c>
      <c r="M26" s="80">
        <v>9546217</v>
      </c>
      <c r="N26" s="42" t="s">
        <v>522</v>
      </c>
      <c r="O26" s="82">
        <v>70</v>
      </c>
      <c r="P26" s="82">
        <v>44</v>
      </c>
      <c r="Q26" s="82">
        <v>40</v>
      </c>
      <c r="R26" s="85">
        <f t="shared" si="0"/>
        <v>-17</v>
      </c>
    </row>
    <row r="27" spans="1:18" hidden="1" x14ac:dyDescent="0.35">
      <c r="A27" s="41"/>
      <c r="B27" s="42"/>
      <c r="C27" s="11"/>
      <c r="D27" s="11"/>
      <c r="E27" s="3"/>
      <c r="F27" s="18"/>
      <c r="G27" s="9"/>
      <c r="H27" s="10"/>
      <c r="I27" s="10"/>
      <c r="J27" s="76"/>
      <c r="K27" s="2" t="str">
        <f t="shared" ref="K27:K73" si="1">IF(I27="-", IF(J27&lt;$K$6, "Failed!", "pass"), IF(AND(H27&gt;=$J$6, I27&gt;=$J$6, J27&gt;=$K$6), "pass", "Failed!"))</f>
        <v>Failed!</v>
      </c>
      <c r="L27" s="53"/>
      <c r="M27" s="80"/>
      <c r="N27" s="42"/>
      <c r="O27" s="82"/>
      <c r="P27" s="82"/>
      <c r="Q27" s="82"/>
      <c r="R27" s="2">
        <v>57</v>
      </c>
    </row>
    <row r="28" spans="1:18" hidden="1" x14ac:dyDescent="0.35">
      <c r="A28" s="41"/>
      <c r="B28" s="42"/>
      <c r="C28" s="11"/>
      <c r="D28" s="11"/>
      <c r="E28" s="3"/>
      <c r="F28" s="18"/>
      <c r="G28" s="9"/>
      <c r="H28" s="10"/>
      <c r="I28" s="10"/>
      <c r="J28" s="76"/>
      <c r="K28" s="2" t="str">
        <f t="shared" si="1"/>
        <v>Failed!</v>
      </c>
      <c r="L28" s="53"/>
      <c r="M28" s="80"/>
      <c r="N28" s="42"/>
      <c r="O28" s="82"/>
      <c r="P28" s="82"/>
      <c r="Q28" s="82"/>
    </row>
    <row r="29" spans="1:18" hidden="1" x14ac:dyDescent="0.35">
      <c r="A29" s="41"/>
      <c r="B29" s="42"/>
      <c r="C29" s="11"/>
      <c r="D29" s="11"/>
      <c r="E29" s="3"/>
      <c r="F29" s="18"/>
      <c r="G29" s="9"/>
      <c r="H29" s="10"/>
      <c r="I29" s="10"/>
      <c r="J29" s="76"/>
      <c r="K29" s="2" t="str">
        <f t="shared" si="1"/>
        <v>Failed!</v>
      </c>
      <c r="L29" s="53"/>
      <c r="M29" s="80"/>
      <c r="N29" s="42"/>
      <c r="O29" s="82"/>
      <c r="P29" s="82"/>
      <c r="Q29" s="82"/>
    </row>
    <row r="30" spans="1:18" hidden="1" x14ac:dyDescent="0.35">
      <c r="A30" s="41"/>
      <c r="B30" s="42"/>
      <c r="C30" s="11"/>
      <c r="D30" s="11"/>
      <c r="E30" s="3"/>
      <c r="F30" s="18"/>
      <c r="G30" s="9"/>
      <c r="H30" s="10"/>
      <c r="I30" s="10"/>
      <c r="J30" s="76"/>
      <c r="K30" s="2" t="str">
        <f t="shared" si="1"/>
        <v>Failed!</v>
      </c>
      <c r="L30" s="53"/>
      <c r="M30" s="80"/>
      <c r="N30" s="42"/>
      <c r="O30" s="82"/>
      <c r="P30" s="82"/>
      <c r="Q30" s="82"/>
    </row>
    <row r="31" spans="1:18" hidden="1" x14ac:dyDescent="0.35">
      <c r="A31" s="41"/>
      <c r="B31" s="42"/>
      <c r="C31" s="11"/>
      <c r="D31" s="11"/>
      <c r="E31" s="3"/>
      <c r="F31" s="18"/>
      <c r="G31" s="9"/>
      <c r="H31" s="10"/>
      <c r="I31" s="10"/>
      <c r="J31" s="76"/>
      <c r="K31" s="2" t="str">
        <f t="shared" si="1"/>
        <v>Failed!</v>
      </c>
      <c r="L31" s="53"/>
      <c r="M31" s="80"/>
      <c r="N31" s="42"/>
      <c r="O31" s="82"/>
      <c r="P31" s="82"/>
      <c r="Q31" s="82"/>
    </row>
    <row r="32" spans="1:18" hidden="1" x14ac:dyDescent="0.35">
      <c r="A32" s="41"/>
      <c r="B32" s="42"/>
      <c r="C32" s="11"/>
      <c r="D32" s="11"/>
      <c r="E32" s="3"/>
      <c r="F32" s="18"/>
      <c r="G32" s="9"/>
      <c r="H32" s="10"/>
      <c r="I32" s="10"/>
      <c r="J32" s="76"/>
      <c r="K32" s="2" t="str">
        <f t="shared" si="1"/>
        <v>Failed!</v>
      </c>
      <c r="L32" s="53"/>
      <c r="M32" s="80"/>
      <c r="N32" s="42"/>
      <c r="O32" s="82"/>
      <c r="P32" s="82"/>
      <c r="Q32" s="82"/>
    </row>
    <row r="33" spans="1:17" hidden="1" x14ac:dyDescent="0.35">
      <c r="A33" s="41"/>
      <c r="B33" s="42"/>
      <c r="C33" s="11"/>
      <c r="D33" s="11"/>
      <c r="E33" s="3"/>
      <c r="F33" s="18"/>
      <c r="G33" s="9"/>
      <c r="H33" s="10"/>
      <c r="I33" s="10"/>
      <c r="J33" s="76"/>
      <c r="K33" s="2" t="str">
        <f t="shared" si="1"/>
        <v>Failed!</v>
      </c>
      <c r="L33" s="53"/>
      <c r="M33" s="80"/>
      <c r="N33" s="42"/>
      <c r="O33" s="82"/>
      <c r="P33" s="82"/>
      <c r="Q33" s="82"/>
    </row>
    <row r="34" spans="1:17" hidden="1" x14ac:dyDescent="0.35">
      <c r="A34" s="41"/>
      <c r="B34" s="42"/>
      <c r="C34" s="11"/>
      <c r="D34" s="11"/>
      <c r="E34" s="3"/>
      <c r="F34" s="18"/>
      <c r="G34" s="9"/>
      <c r="H34" s="10"/>
      <c r="I34" s="10"/>
      <c r="J34" s="76"/>
      <c r="K34" s="2" t="str">
        <f t="shared" si="1"/>
        <v>Failed!</v>
      </c>
      <c r="L34" s="53"/>
      <c r="M34" s="80"/>
      <c r="N34" s="42"/>
      <c r="O34" s="82"/>
      <c r="P34" s="82"/>
      <c r="Q34" s="82"/>
    </row>
    <row r="35" spans="1:17" hidden="1" x14ac:dyDescent="0.35">
      <c r="A35" s="41"/>
      <c r="B35" s="42"/>
      <c r="C35" s="11"/>
      <c r="D35" s="11"/>
      <c r="E35" s="3"/>
      <c r="F35" s="18"/>
      <c r="G35" s="9"/>
      <c r="H35" s="10"/>
      <c r="I35" s="10"/>
      <c r="J35" s="76"/>
      <c r="K35" s="2" t="str">
        <f t="shared" si="1"/>
        <v>Failed!</v>
      </c>
      <c r="L35" s="53"/>
      <c r="M35" s="80"/>
      <c r="N35" s="42"/>
      <c r="O35" s="82"/>
      <c r="P35" s="82"/>
      <c r="Q35" s="82"/>
    </row>
    <row r="36" spans="1:17" hidden="1" x14ac:dyDescent="0.35">
      <c r="A36" s="41"/>
      <c r="B36" s="42"/>
      <c r="C36" s="11"/>
      <c r="D36" s="11"/>
      <c r="E36" s="3"/>
      <c r="F36" s="18"/>
      <c r="G36" s="9"/>
      <c r="H36" s="10"/>
      <c r="I36" s="10"/>
      <c r="J36" s="76"/>
      <c r="K36" s="2" t="str">
        <f t="shared" si="1"/>
        <v>Failed!</v>
      </c>
      <c r="L36" s="53"/>
      <c r="M36" s="80"/>
      <c r="N36" s="42"/>
      <c r="O36" s="82"/>
      <c r="P36" s="82"/>
      <c r="Q36" s="82"/>
    </row>
    <row r="37" spans="1:17" hidden="1" x14ac:dyDescent="0.35">
      <c r="A37" s="41"/>
      <c r="B37" s="42"/>
      <c r="C37" s="11"/>
      <c r="D37" s="11"/>
      <c r="E37" s="3"/>
      <c r="F37" s="18"/>
      <c r="G37" s="9"/>
      <c r="H37" s="10"/>
      <c r="I37" s="10"/>
      <c r="J37" s="76"/>
      <c r="K37" s="2" t="str">
        <f t="shared" si="1"/>
        <v>Failed!</v>
      </c>
      <c r="L37" s="53"/>
      <c r="M37" s="80"/>
      <c r="N37" s="42"/>
      <c r="O37" s="82"/>
      <c r="P37" s="82"/>
      <c r="Q37" s="82"/>
    </row>
    <row r="38" spans="1:17" hidden="1" x14ac:dyDescent="0.35">
      <c r="A38" s="41"/>
      <c r="B38" s="42"/>
      <c r="C38" s="11"/>
      <c r="D38" s="11"/>
      <c r="E38" s="3"/>
      <c r="F38" s="18"/>
      <c r="G38" s="9"/>
      <c r="H38" s="10"/>
      <c r="I38" s="10"/>
      <c r="J38" s="76"/>
      <c r="K38" s="2" t="str">
        <f t="shared" si="1"/>
        <v>Failed!</v>
      </c>
      <c r="L38" s="53"/>
      <c r="M38" s="80"/>
      <c r="N38" s="42"/>
      <c r="O38" s="82"/>
      <c r="P38" s="82"/>
      <c r="Q38" s="82"/>
    </row>
    <row r="39" spans="1:17" hidden="1" x14ac:dyDescent="0.35">
      <c r="A39" s="41"/>
      <c r="B39" s="42"/>
      <c r="C39" s="11"/>
      <c r="D39" s="11"/>
      <c r="E39" s="3"/>
      <c r="F39" s="18"/>
      <c r="G39" s="9"/>
      <c r="H39" s="10"/>
      <c r="I39" s="10"/>
      <c r="J39" s="76"/>
      <c r="K39" s="2" t="str">
        <f t="shared" si="1"/>
        <v>Failed!</v>
      </c>
      <c r="L39" s="53"/>
      <c r="M39" s="80"/>
      <c r="N39" s="42"/>
      <c r="O39" s="82"/>
      <c r="P39" s="82"/>
      <c r="Q39" s="82"/>
    </row>
    <row r="40" spans="1:17" hidden="1" x14ac:dyDescent="0.35">
      <c r="A40" s="41"/>
      <c r="B40" s="42"/>
      <c r="C40" s="11"/>
      <c r="D40" s="11"/>
      <c r="E40" s="3"/>
      <c r="F40" s="18"/>
      <c r="G40" s="9"/>
      <c r="H40" s="10"/>
      <c r="I40" s="10"/>
      <c r="J40" s="76"/>
      <c r="K40" s="2" t="str">
        <f t="shared" si="1"/>
        <v>Failed!</v>
      </c>
      <c r="L40" s="53"/>
      <c r="M40" s="80"/>
      <c r="N40" s="42"/>
      <c r="O40" s="82"/>
      <c r="P40" s="82"/>
      <c r="Q40" s="82"/>
    </row>
    <row r="41" spans="1:17" hidden="1" x14ac:dyDescent="0.35">
      <c r="A41" s="41"/>
      <c r="B41" s="42"/>
      <c r="C41" s="11"/>
      <c r="D41" s="11"/>
      <c r="E41" s="3"/>
      <c r="F41" s="18"/>
      <c r="G41" s="9"/>
      <c r="H41" s="10"/>
      <c r="I41" s="10"/>
      <c r="J41" s="76"/>
      <c r="K41" s="2" t="str">
        <f t="shared" si="1"/>
        <v>Failed!</v>
      </c>
      <c r="L41" s="53"/>
      <c r="M41" s="80"/>
      <c r="N41" s="42"/>
      <c r="O41" s="82"/>
      <c r="P41" s="82"/>
      <c r="Q41" s="82"/>
    </row>
    <row r="42" spans="1:17" hidden="1" x14ac:dyDescent="0.35">
      <c r="A42" s="41"/>
      <c r="B42" s="42"/>
      <c r="C42" s="11"/>
      <c r="D42" s="11"/>
      <c r="E42" s="3"/>
      <c r="F42" s="18"/>
      <c r="G42" s="9"/>
      <c r="H42" s="10"/>
      <c r="I42" s="10"/>
      <c r="J42" s="76"/>
      <c r="K42" s="2" t="str">
        <f t="shared" si="1"/>
        <v>Failed!</v>
      </c>
      <c r="L42" s="53"/>
      <c r="M42" s="80"/>
      <c r="N42" s="42"/>
      <c r="O42" s="82"/>
      <c r="P42" s="82"/>
      <c r="Q42" s="82"/>
    </row>
    <row r="43" spans="1:17" hidden="1" x14ac:dyDescent="0.35">
      <c r="A43" s="41"/>
      <c r="B43" s="42"/>
      <c r="C43" s="11"/>
      <c r="D43" s="11"/>
      <c r="E43" s="3"/>
      <c r="F43" s="18"/>
      <c r="G43" s="9"/>
      <c r="H43" s="10"/>
      <c r="I43" s="10"/>
      <c r="J43" s="76"/>
      <c r="K43" s="2" t="str">
        <f t="shared" si="1"/>
        <v>Failed!</v>
      </c>
      <c r="L43" s="53"/>
      <c r="M43" s="80"/>
      <c r="N43" s="42"/>
      <c r="O43" s="82"/>
      <c r="P43" s="82"/>
      <c r="Q43" s="82"/>
    </row>
    <row r="44" spans="1:17" hidden="1" x14ac:dyDescent="0.35">
      <c r="A44" s="41"/>
      <c r="B44" s="42"/>
      <c r="C44" s="11"/>
      <c r="D44" s="11"/>
      <c r="E44" s="3"/>
      <c r="F44" s="18"/>
      <c r="G44" s="9"/>
      <c r="H44" s="10"/>
      <c r="I44" s="10"/>
      <c r="J44" s="76"/>
      <c r="K44" s="2" t="str">
        <f t="shared" si="1"/>
        <v>Failed!</v>
      </c>
      <c r="L44" s="53"/>
      <c r="M44" s="80"/>
      <c r="N44" s="42"/>
      <c r="O44" s="82"/>
      <c r="P44" s="82"/>
      <c r="Q44" s="82"/>
    </row>
    <row r="45" spans="1:17" hidden="1" x14ac:dyDescent="0.35">
      <c r="A45" s="41"/>
      <c r="B45" s="42"/>
      <c r="C45" s="11"/>
      <c r="D45" s="11"/>
      <c r="E45" s="3"/>
      <c r="F45" s="18"/>
      <c r="G45" s="9"/>
      <c r="H45" s="10"/>
      <c r="I45" s="10"/>
      <c r="J45" s="76"/>
      <c r="K45" s="2" t="str">
        <f t="shared" si="1"/>
        <v>Failed!</v>
      </c>
      <c r="L45" s="53"/>
      <c r="M45" s="80"/>
      <c r="N45" s="42"/>
      <c r="O45" s="82"/>
      <c r="P45" s="82"/>
      <c r="Q45" s="82"/>
    </row>
    <row r="46" spans="1:17" hidden="1" x14ac:dyDescent="0.35">
      <c r="A46" s="41"/>
      <c r="B46" s="42"/>
      <c r="C46" s="11"/>
      <c r="D46" s="11"/>
      <c r="E46" s="3"/>
      <c r="F46" s="18"/>
      <c r="G46" s="9"/>
      <c r="H46" s="10"/>
      <c r="I46" s="10"/>
      <c r="J46" s="76"/>
      <c r="K46" s="2" t="str">
        <f t="shared" si="1"/>
        <v>Failed!</v>
      </c>
      <c r="L46" s="53"/>
      <c r="M46" s="80"/>
      <c r="N46" s="42"/>
      <c r="O46" s="82"/>
      <c r="P46" s="82"/>
      <c r="Q46" s="82"/>
    </row>
    <row r="47" spans="1:17" hidden="1" x14ac:dyDescent="0.35">
      <c r="A47" s="41"/>
      <c r="B47" s="42"/>
      <c r="C47" s="11"/>
      <c r="D47" s="11"/>
      <c r="E47" s="3"/>
      <c r="F47" s="18"/>
      <c r="G47" s="9"/>
      <c r="H47" s="10"/>
      <c r="I47" s="10"/>
      <c r="J47" s="76"/>
      <c r="K47" s="2" t="str">
        <f t="shared" si="1"/>
        <v>Failed!</v>
      </c>
      <c r="L47" s="53"/>
      <c r="M47" s="80"/>
      <c r="N47" s="42"/>
      <c r="O47" s="82"/>
      <c r="P47" s="82"/>
      <c r="Q47" s="82"/>
    </row>
    <row r="48" spans="1:17"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17</v>
      </c>
      <c r="G90" s="2" t="s">
        <v>14</v>
      </c>
      <c r="H90" s="40">
        <f>MAX(H10:H88)</f>
        <v>90</v>
      </c>
      <c r="I90" s="40">
        <f>MAX(I10:I88)</f>
        <v>85</v>
      </c>
      <c r="J90" s="40">
        <f>MAX(L10:L88)</f>
        <v>87</v>
      </c>
      <c r="M90" s="4"/>
    </row>
    <row r="91" spans="1:17" x14ac:dyDescent="0.35">
      <c r="G91" s="2" t="s">
        <v>12</v>
      </c>
      <c r="H91" s="40">
        <f>AVERAGE(H10:H88)</f>
        <v>62.764705882352942</v>
      </c>
      <c r="I91" s="40">
        <f>AVERAGE(I10:I88)</f>
        <v>57.470588235294116</v>
      </c>
      <c r="J91" s="40">
        <f>AVERAGE(L10:L88)</f>
        <v>56.764705882352942</v>
      </c>
      <c r="M91" s="4"/>
    </row>
    <row r="92" spans="1:17" x14ac:dyDescent="0.35">
      <c r="G92" s="2" t="s">
        <v>15</v>
      </c>
      <c r="H92" s="40">
        <f>MIN(H10:H88)</f>
        <v>0</v>
      </c>
      <c r="I92" s="40">
        <f>MIN(I10:I88)</f>
        <v>0</v>
      </c>
      <c r="J92" s="40">
        <f>MIN(L10:L88)</f>
        <v>0</v>
      </c>
      <c r="M92" s="4"/>
    </row>
    <row r="93" spans="1:17" x14ac:dyDescent="0.35">
      <c r="G93" s="2" t="s">
        <v>13</v>
      </c>
      <c r="H93" s="40">
        <f>STDEV(H10:H88)</f>
        <v>19.552907110467956</v>
      </c>
      <c r="I93" s="40">
        <f>STDEV(I10:I88)</f>
        <v>20.227202126897165</v>
      </c>
      <c r="J93" s="40">
        <f>STDEV(L10:L88)</f>
        <v>23.537946521958713</v>
      </c>
      <c r="M93" s="4"/>
    </row>
    <row r="94" spans="1:17" x14ac:dyDescent="0.35">
      <c r="G94" s="2" t="str">
        <f>"Failed count ( &lt; " &amp; K6 &amp; " )"</f>
        <v>Failed count ( &lt; 40 )</v>
      </c>
      <c r="H94" s="50">
        <f>COUNTIF(H10:H88, "&lt;40")</f>
        <v>1</v>
      </c>
      <c r="I94" s="50">
        <f>COUNTIF(I10:I88, "&lt;40")</f>
        <v>1</v>
      </c>
      <c r="J94" s="50">
        <f>COUNTIF(L10:L88, "&lt;40")</f>
        <v>2</v>
      </c>
      <c r="M94" s="4"/>
    </row>
    <row r="95" spans="1:17" x14ac:dyDescent="0.35">
      <c r="G95" s="2" t="s">
        <v>16</v>
      </c>
      <c r="H95" s="49">
        <f>1-H94/$F90</f>
        <v>0.94117647058823528</v>
      </c>
      <c r="I95" s="49">
        <f>1-I94/$F90</f>
        <v>0.94117647058823528</v>
      </c>
      <c r="J95" s="49">
        <f>1-J94/$F90</f>
        <v>0.88235294117647056</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16" priority="1" operator="lessThan">
      <formula>$K$6</formula>
    </cfRule>
  </conditionalFormatting>
  <conditionalFormatting sqref="F10:I88">
    <cfRule type="expression" dxfId="15" priority="2" stopIfTrue="1">
      <formula>F10=A10</formula>
    </cfRule>
    <cfRule type="expression" dxfId="14" priority="3" stopIfTrue="1">
      <formula>F10&lt;&gt;A10</formula>
    </cfRule>
  </conditionalFormatting>
  <conditionalFormatting sqref="M10:Q26">
    <cfRule type="expression" dxfId="13" priority="4" stopIfTrue="1">
      <formula>M10=F10</formula>
    </cfRule>
    <cfRule type="expression" dxfId="1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80898"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80899"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R109"/>
  <sheetViews>
    <sheetView zoomScaleNormal="100" workbookViewId="0">
      <pane xSplit="1" ySplit="9" topLeftCell="L10" activePane="bottomRight" state="frozen"/>
      <selection activeCell="E16" sqref="E16"/>
      <selection pane="topRight" activeCell="E16" sqref="E16"/>
      <selection pane="bottomLeft" activeCell="E16" sqref="E16"/>
      <selection pane="bottomRight" activeCell="M10" sqref="M10:R11"/>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2</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240</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241</v>
      </c>
      <c r="C5" s="14"/>
      <c r="D5" s="16"/>
      <c r="F5" s="59" t="s">
        <v>38</v>
      </c>
      <c r="L5" s="52"/>
      <c r="M5" s="47" t="s">
        <v>49</v>
      </c>
    </row>
    <row r="6" spans="1:18" x14ac:dyDescent="0.35">
      <c r="A6" s="20" t="s">
        <v>37</v>
      </c>
      <c r="B6" s="13" t="s">
        <v>68</v>
      </c>
      <c r="C6" s="14"/>
      <c r="D6" s="16"/>
      <c r="F6" s="59" t="s">
        <v>54</v>
      </c>
      <c r="J6" s="70">
        <v>35</v>
      </c>
      <c r="K6" s="70">
        <v>40</v>
      </c>
      <c r="L6" s="52"/>
      <c r="N6" s="51" t="str">
        <f>B5&amp;".pdf"</f>
        <v>380CT.pdf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8117726</v>
      </c>
      <c r="B10" s="42" t="s">
        <v>242</v>
      </c>
      <c r="C10" s="11">
        <v>49</v>
      </c>
      <c r="D10" s="11">
        <v>50</v>
      </c>
      <c r="E10" s="3" t="s">
        <v>150</v>
      </c>
      <c r="F10" s="18">
        <v>8117726</v>
      </c>
      <c r="G10" s="9" t="s">
        <v>386</v>
      </c>
      <c r="H10" s="10">
        <v>49</v>
      </c>
      <c r="I10" s="10">
        <v>50</v>
      </c>
      <c r="J10" s="76">
        <v>49.5</v>
      </c>
      <c r="K10" s="2" t="s">
        <v>398</v>
      </c>
      <c r="L10" s="53">
        <v>49.5</v>
      </c>
      <c r="M10" s="80">
        <v>8117726</v>
      </c>
      <c r="N10" s="42" t="s">
        <v>523</v>
      </c>
      <c r="O10" s="82">
        <v>49</v>
      </c>
      <c r="P10" s="82">
        <v>50</v>
      </c>
      <c r="Q10" s="82">
        <v>40</v>
      </c>
      <c r="R10" s="85">
        <f>ROUND(Q10 - ABS(J10), 2)</f>
        <v>-9.5</v>
      </c>
    </row>
    <row r="11" spans="1:18" x14ac:dyDescent="0.35">
      <c r="A11" s="41">
        <v>9658543</v>
      </c>
      <c r="B11" s="43" t="s">
        <v>243</v>
      </c>
      <c r="C11" s="11">
        <v>10</v>
      </c>
      <c r="D11" s="11">
        <v>22</v>
      </c>
      <c r="E11" s="3" t="s">
        <v>150</v>
      </c>
      <c r="F11" s="18">
        <v>9658543</v>
      </c>
      <c r="G11" s="9" t="s">
        <v>348</v>
      </c>
      <c r="H11" s="10">
        <v>10</v>
      </c>
      <c r="I11" s="10">
        <v>22</v>
      </c>
      <c r="J11" s="76">
        <v>16</v>
      </c>
      <c r="K11" s="2" t="s">
        <v>398</v>
      </c>
      <c r="L11" s="53">
        <v>16</v>
      </c>
      <c r="M11" s="80">
        <v>9658543</v>
      </c>
      <c r="N11" s="42" t="s">
        <v>496</v>
      </c>
      <c r="O11" s="82">
        <v>10</v>
      </c>
      <c r="P11" s="82">
        <v>22</v>
      </c>
      <c r="Q11" s="82">
        <v>16</v>
      </c>
      <c r="R11" s="84">
        <f>ROUND(Q11 - ABS(J11), 2)</f>
        <v>0</v>
      </c>
    </row>
    <row r="12" spans="1:18" hidden="1" x14ac:dyDescent="0.35">
      <c r="A12" s="41"/>
      <c r="B12" s="42"/>
      <c r="C12" s="11"/>
      <c r="D12" s="11"/>
      <c r="E12" s="3"/>
      <c r="F12" s="18"/>
      <c r="G12" s="9"/>
      <c r="H12" s="10"/>
      <c r="I12" s="10"/>
      <c r="J12" s="76"/>
      <c r="K12" s="2" t="str">
        <f t="shared" ref="K12:K73" si="0">IF(I12="-", IF(J12&lt;$K$6, "Failed!", "pass"), IF(AND(H12&gt;=$J$6, I12&gt;=$J$6, J12&gt;=$K$6), "pass", "Failed!"))</f>
        <v>Failed!</v>
      </c>
      <c r="L12" s="53"/>
      <c r="M12" s="80"/>
      <c r="N12" s="42"/>
      <c r="O12" s="82"/>
      <c r="P12" s="82"/>
      <c r="Q12" s="82"/>
    </row>
    <row r="13" spans="1:18" hidden="1" x14ac:dyDescent="0.35">
      <c r="A13" s="41"/>
      <c r="B13" s="42"/>
      <c r="C13" s="11"/>
      <c r="D13" s="11"/>
      <c r="E13" s="3"/>
      <c r="F13" s="18"/>
      <c r="G13" s="9"/>
      <c r="H13" s="10"/>
      <c r="I13" s="10"/>
      <c r="J13" s="76"/>
      <c r="K13" s="2" t="str">
        <f t="shared" si="0"/>
        <v>Failed!</v>
      </c>
      <c r="L13" s="53"/>
      <c r="M13" s="80"/>
      <c r="N13" s="42"/>
      <c r="O13" s="82"/>
      <c r="P13" s="82"/>
      <c r="Q13" s="82"/>
    </row>
    <row r="14" spans="1:18" hidden="1" x14ac:dyDescent="0.35">
      <c r="A14" s="41"/>
      <c r="B14" s="42"/>
      <c r="C14" s="11"/>
      <c r="D14" s="11"/>
      <c r="E14" s="3"/>
      <c r="F14" s="18"/>
      <c r="G14" s="9"/>
      <c r="H14" s="10"/>
      <c r="I14" s="10"/>
      <c r="J14" s="76"/>
      <c r="K14" s="2" t="str">
        <f t="shared" si="0"/>
        <v>Failed!</v>
      </c>
      <c r="L14" s="53"/>
      <c r="M14" s="80"/>
      <c r="N14" s="42"/>
      <c r="O14" s="82"/>
      <c r="P14" s="82"/>
      <c r="Q14" s="82"/>
    </row>
    <row r="15" spans="1:18" hidden="1" x14ac:dyDescent="0.35">
      <c r="A15" s="41"/>
      <c r="B15" s="42"/>
      <c r="C15" s="11"/>
      <c r="D15" s="11"/>
      <c r="E15" s="3"/>
      <c r="F15" s="18"/>
      <c r="G15" s="9"/>
      <c r="H15" s="10"/>
      <c r="I15" s="10"/>
      <c r="J15" s="76"/>
      <c r="K15" s="2" t="str">
        <f t="shared" si="0"/>
        <v>Failed!</v>
      </c>
      <c r="L15" s="53"/>
      <c r="M15" s="80"/>
      <c r="N15" s="42"/>
      <c r="O15" s="82"/>
      <c r="P15" s="82"/>
      <c r="Q15" s="82"/>
    </row>
    <row r="16" spans="1:18" hidden="1" x14ac:dyDescent="0.35">
      <c r="A16" s="41"/>
      <c r="B16" s="42"/>
      <c r="C16" s="11"/>
      <c r="D16" s="11"/>
      <c r="E16" s="3"/>
      <c r="F16" s="18"/>
      <c r="G16" s="9"/>
      <c r="H16" s="10"/>
      <c r="I16" s="10"/>
      <c r="J16" s="76"/>
      <c r="K16" s="2" t="str">
        <f t="shared" si="0"/>
        <v>Failed!</v>
      </c>
      <c r="L16" s="53"/>
      <c r="M16" s="80"/>
      <c r="N16" s="42"/>
      <c r="O16" s="82"/>
      <c r="P16" s="82"/>
      <c r="Q16" s="82"/>
    </row>
    <row r="17" spans="1:17" hidden="1" x14ac:dyDescent="0.35">
      <c r="A17" s="41"/>
      <c r="B17" s="42"/>
      <c r="C17" s="11"/>
      <c r="D17" s="11"/>
      <c r="E17" s="3"/>
      <c r="F17" s="18"/>
      <c r="G17" s="9"/>
      <c r="H17" s="10"/>
      <c r="I17" s="10"/>
      <c r="J17" s="76"/>
      <c r="K17" s="2" t="str">
        <f t="shared" si="0"/>
        <v>Failed!</v>
      </c>
      <c r="L17" s="53"/>
      <c r="M17" s="80"/>
      <c r="N17" s="42"/>
      <c r="O17" s="82"/>
      <c r="P17" s="82"/>
      <c r="Q17" s="82"/>
    </row>
    <row r="18" spans="1:17" hidden="1" x14ac:dyDescent="0.35">
      <c r="A18" s="41"/>
      <c r="B18" s="42"/>
      <c r="C18" s="11"/>
      <c r="D18" s="11"/>
      <c r="E18" s="3"/>
      <c r="F18" s="18"/>
      <c r="G18" s="9"/>
      <c r="H18" s="10"/>
      <c r="I18" s="10"/>
      <c r="J18" s="76"/>
      <c r="K18" s="2" t="str">
        <f t="shared" si="0"/>
        <v>Failed!</v>
      </c>
      <c r="L18" s="53"/>
      <c r="M18" s="80"/>
      <c r="N18" s="42"/>
      <c r="O18" s="82"/>
      <c r="P18" s="82"/>
      <c r="Q18" s="82"/>
    </row>
    <row r="19" spans="1:17" hidden="1" x14ac:dyDescent="0.35">
      <c r="A19" s="41"/>
      <c r="B19" s="42"/>
      <c r="C19" s="11"/>
      <c r="D19" s="11"/>
      <c r="E19" s="3"/>
      <c r="F19" s="18"/>
      <c r="G19" s="9"/>
      <c r="H19" s="10"/>
      <c r="I19" s="10"/>
      <c r="J19" s="76"/>
      <c r="K19" s="2" t="str">
        <f t="shared" si="0"/>
        <v>Failed!</v>
      </c>
      <c r="L19" s="53"/>
      <c r="M19" s="80"/>
      <c r="N19" s="42"/>
      <c r="O19" s="82"/>
      <c r="P19" s="82"/>
      <c r="Q19" s="82"/>
    </row>
    <row r="20" spans="1:17" hidden="1" x14ac:dyDescent="0.35">
      <c r="A20" s="41"/>
      <c r="B20" s="42"/>
      <c r="C20" s="11"/>
      <c r="D20" s="11"/>
      <c r="E20" s="3"/>
      <c r="F20" s="18"/>
      <c r="G20" s="9"/>
      <c r="H20" s="10"/>
      <c r="I20" s="10"/>
      <c r="J20" s="76"/>
      <c r="K20" s="2" t="str">
        <f t="shared" si="0"/>
        <v>Failed!</v>
      </c>
      <c r="L20" s="53"/>
      <c r="M20" s="80"/>
      <c r="N20" s="42"/>
      <c r="O20" s="82"/>
      <c r="P20" s="82"/>
      <c r="Q20" s="82"/>
    </row>
    <row r="21" spans="1:17" hidden="1" x14ac:dyDescent="0.35">
      <c r="A21" s="41"/>
      <c r="B21" s="42"/>
      <c r="C21" s="11"/>
      <c r="D21" s="11"/>
      <c r="E21" s="3"/>
      <c r="F21" s="18"/>
      <c r="G21" s="9"/>
      <c r="H21" s="10"/>
      <c r="I21" s="10"/>
      <c r="J21" s="76"/>
      <c r="K21" s="2" t="str">
        <f t="shared" si="0"/>
        <v>Failed!</v>
      </c>
      <c r="L21" s="53"/>
      <c r="M21" s="80"/>
      <c r="N21" s="42"/>
      <c r="O21" s="82"/>
      <c r="P21" s="82"/>
      <c r="Q21" s="82"/>
    </row>
    <row r="22" spans="1:17" hidden="1" x14ac:dyDescent="0.35">
      <c r="A22" s="41"/>
      <c r="B22" s="42"/>
      <c r="C22" s="11"/>
      <c r="D22" s="11"/>
      <c r="E22" s="3"/>
      <c r="F22" s="18"/>
      <c r="G22" s="9"/>
      <c r="H22" s="10"/>
      <c r="I22" s="10"/>
      <c r="J22" s="76"/>
      <c r="K22" s="2" t="str">
        <f t="shared" si="0"/>
        <v>Failed!</v>
      </c>
      <c r="L22" s="53"/>
      <c r="M22" s="80"/>
      <c r="N22" s="42"/>
      <c r="O22" s="82"/>
      <c r="P22" s="82"/>
      <c r="Q22" s="82"/>
    </row>
    <row r="23" spans="1:17" hidden="1" x14ac:dyDescent="0.35">
      <c r="A23" s="41"/>
      <c r="B23" s="42"/>
      <c r="C23" s="11"/>
      <c r="D23" s="11"/>
      <c r="E23" s="3"/>
      <c r="F23" s="18"/>
      <c r="G23" s="9"/>
      <c r="H23" s="10"/>
      <c r="I23" s="10"/>
      <c r="J23" s="76"/>
      <c r="K23" s="2" t="str">
        <f t="shared" si="0"/>
        <v>Failed!</v>
      </c>
      <c r="L23" s="53"/>
      <c r="M23" s="80"/>
      <c r="N23" s="42"/>
      <c r="O23" s="82"/>
      <c r="P23" s="82"/>
      <c r="Q23" s="82"/>
    </row>
    <row r="24" spans="1:17" hidden="1" x14ac:dyDescent="0.35">
      <c r="A24" s="41"/>
      <c r="B24" s="42"/>
      <c r="C24" s="11"/>
      <c r="D24" s="11"/>
      <c r="E24" s="3"/>
      <c r="F24" s="18"/>
      <c r="G24" s="9"/>
      <c r="H24" s="10"/>
      <c r="I24" s="10"/>
      <c r="J24" s="76"/>
      <c r="K24" s="2" t="str">
        <f t="shared" si="0"/>
        <v>Failed!</v>
      </c>
      <c r="L24" s="53"/>
      <c r="M24" s="80"/>
      <c r="N24" s="42"/>
      <c r="O24" s="82"/>
      <c r="P24" s="82"/>
      <c r="Q24" s="82"/>
    </row>
    <row r="25" spans="1:17" hidden="1" x14ac:dyDescent="0.35">
      <c r="A25" s="41"/>
      <c r="B25" s="42"/>
      <c r="C25" s="11"/>
      <c r="D25" s="11"/>
      <c r="E25" s="3"/>
      <c r="F25" s="18"/>
      <c r="G25" s="9"/>
      <c r="H25" s="10"/>
      <c r="I25" s="10"/>
      <c r="J25" s="76"/>
      <c r="K25" s="2" t="str">
        <f t="shared" si="0"/>
        <v>Failed!</v>
      </c>
      <c r="L25" s="53"/>
      <c r="M25" s="80"/>
      <c r="N25" s="42"/>
      <c r="O25" s="82"/>
      <c r="P25" s="82"/>
      <c r="Q25" s="82"/>
    </row>
    <row r="26" spans="1:17" hidden="1" x14ac:dyDescent="0.35">
      <c r="A26" s="41"/>
      <c r="B26" s="42"/>
      <c r="C26" s="11"/>
      <c r="D26" s="11"/>
      <c r="E26" s="3"/>
      <c r="F26" s="18"/>
      <c r="G26" s="9"/>
      <c r="H26" s="10"/>
      <c r="I26" s="10"/>
      <c r="J26" s="76"/>
      <c r="K26" s="2" t="str">
        <f t="shared" si="0"/>
        <v>Failed!</v>
      </c>
      <c r="L26" s="53"/>
      <c r="M26" s="80"/>
      <c r="N26" s="42"/>
      <c r="O26" s="82"/>
      <c r="P26" s="82"/>
      <c r="Q26" s="82"/>
    </row>
    <row r="27" spans="1:17" hidden="1" x14ac:dyDescent="0.35">
      <c r="A27" s="41"/>
      <c r="B27" s="42"/>
      <c r="C27" s="11"/>
      <c r="D27" s="11"/>
      <c r="E27" s="3"/>
      <c r="F27" s="18"/>
      <c r="G27" s="9"/>
      <c r="H27" s="10"/>
      <c r="I27" s="10"/>
      <c r="J27" s="76"/>
      <c r="K27" s="2" t="str">
        <f t="shared" si="0"/>
        <v>Failed!</v>
      </c>
      <c r="L27" s="53"/>
      <c r="M27" s="80"/>
      <c r="N27" s="42"/>
      <c r="O27" s="82"/>
      <c r="P27" s="82"/>
      <c r="Q27" s="82"/>
    </row>
    <row r="28" spans="1:17" hidden="1" x14ac:dyDescent="0.35">
      <c r="A28" s="41"/>
      <c r="B28" s="42"/>
      <c r="C28" s="11"/>
      <c r="D28" s="11"/>
      <c r="E28" s="3"/>
      <c r="F28" s="18"/>
      <c r="G28" s="9"/>
      <c r="H28" s="10"/>
      <c r="I28" s="10"/>
      <c r="J28" s="76"/>
      <c r="K28" s="2" t="str">
        <f t="shared" si="0"/>
        <v>Failed!</v>
      </c>
      <c r="L28" s="53"/>
      <c r="M28" s="80"/>
      <c r="N28" s="42"/>
      <c r="O28" s="82"/>
      <c r="P28" s="82"/>
      <c r="Q28" s="82"/>
    </row>
    <row r="29" spans="1:17" hidden="1" x14ac:dyDescent="0.35">
      <c r="A29" s="41"/>
      <c r="B29" s="42"/>
      <c r="C29" s="11"/>
      <c r="D29" s="11"/>
      <c r="E29" s="3"/>
      <c r="F29" s="18"/>
      <c r="G29" s="9"/>
      <c r="H29" s="10"/>
      <c r="I29" s="10"/>
      <c r="J29" s="76"/>
      <c r="K29" s="2" t="str">
        <f t="shared" si="0"/>
        <v>Failed!</v>
      </c>
      <c r="L29" s="53"/>
      <c r="M29" s="80"/>
      <c r="N29" s="42"/>
      <c r="O29" s="82"/>
      <c r="P29" s="82"/>
      <c r="Q29" s="82"/>
    </row>
    <row r="30" spans="1:17" hidden="1" x14ac:dyDescent="0.35">
      <c r="A30" s="41"/>
      <c r="B30" s="42"/>
      <c r="C30" s="11"/>
      <c r="D30" s="11"/>
      <c r="E30" s="3"/>
      <c r="F30" s="18"/>
      <c r="G30" s="9"/>
      <c r="H30" s="10"/>
      <c r="I30" s="10"/>
      <c r="J30" s="76"/>
      <c r="K30" s="2" t="str">
        <f t="shared" si="0"/>
        <v>Failed!</v>
      </c>
      <c r="L30" s="53"/>
      <c r="M30" s="80"/>
      <c r="N30" s="42"/>
      <c r="O30" s="82"/>
      <c r="P30" s="82"/>
      <c r="Q30" s="82"/>
    </row>
    <row r="31" spans="1:17" hidden="1" x14ac:dyDescent="0.35">
      <c r="A31" s="41"/>
      <c r="B31" s="42"/>
      <c r="C31" s="11"/>
      <c r="D31" s="11"/>
      <c r="E31" s="3"/>
      <c r="F31" s="18"/>
      <c r="G31" s="9"/>
      <c r="H31" s="10"/>
      <c r="I31" s="10"/>
      <c r="J31" s="76"/>
      <c r="K31" s="2" t="str">
        <f t="shared" si="0"/>
        <v>Failed!</v>
      </c>
      <c r="L31" s="53"/>
      <c r="M31" s="80"/>
      <c r="N31" s="42"/>
      <c r="O31" s="82"/>
      <c r="P31" s="82"/>
      <c r="Q31" s="82"/>
    </row>
    <row r="32" spans="1:17" hidden="1" x14ac:dyDescent="0.35">
      <c r="A32" s="41"/>
      <c r="B32" s="42"/>
      <c r="C32" s="11"/>
      <c r="D32" s="11"/>
      <c r="E32" s="3"/>
      <c r="F32" s="18"/>
      <c r="G32" s="9"/>
      <c r="H32" s="10"/>
      <c r="I32" s="10"/>
      <c r="J32" s="76"/>
      <c r="K32" s="2" t="str">
        <f t="shared" si="0"/>
        <v>Failed!</v>
      </c>
      <c r="L32" s="53"/>
      <c r="M32" s="80"/>
      <c r="N32" s="42"/>
      <c r="O32" s="82"/>
      <c r="P32" s="82"/>
      <c r="Q32" s="82"/>
    </row>
    <row r="33" spans="1:17" hidden="1" x14ac:dyDescent="0.35">
      <c r="A33" s="41"/>
      <c r="B33" s="42"/>
      <c r="C33" s="11"/>
      <c r="D33" s="11"/>
      <c r="E33" s="3"/>
      <c r="F33" s="18"/>
      <c r="G33" s="9"/>
      <c r="H33" s="10"/>
      <c r="I33" s="10"/>
      <c r="J33" s="76"/>
      <c r="K33" s="2" t="str">
        <f t="shared" si="0"/>
        <v>Failed!</v>
      </c>
      <c r="L33" s="53"/>
      <c r="M33" s="80"/>
      <c r="N33" s="42"/>
      <c r="O33" s="82"/>
      <c r="P33" s="82"/>
      <c r="Q33" s="82"/>
    </row>
    <row r="34" spans="1:17" hidden="1" x14ac:dyDescent="0.35">
      <c r="A34" s="41"/>
      <c r="B34" s="42"/>
      <c r="C34" s="11"/>
      <c r="D34" s="11"/>
      <c r="E34" s="3"/>
      <c r="F34" s="18"/>
      <c r="G34" s="9"/>
      <c r="H34" s="10"/>
      <c r="I34" s="10"/>
      <c r="J34" s="76"/>
      <c r="K34" s="2" t="str">
        <f t="shared" si="0"/>
        <v>Failed!</v>
      </c>
      <c r="L34" s="53"/>
      <c r="M34" s="80"/>
      <c r="N34" s="42"/>
      <c r="O34" s="82"/>
      <c r="P34" s="82"/>
      <c r="Q34" s="82"/>
    </row>
    <row r="35" spans="1:17" hidden="1" x14ac:dyDescent="0.35">
      <c r="A35" s="41"/>
      <c r="B35" s="42"/>
      <c r="C35" s="11"/>
      <c r="D35" s="11"/>
      <c r="E35" s="3"/>
      <c r="F35" s="18"/>
      <c r="G35" s="9"/>
      <c r="H35" s="10"/>
      <c r="I35" s="10"/>
      <c r="J35" s="76"/>
      <c r="K35" s="2" t="str">
        <f t="shared" si="0"/>
        <v>Failed!</v>
      </c>
      <c r="L35" s="53"/>
      <c r="M35" s="80"/>
      <c r="N35" s="42"/>
      <c r="O35" s="82"/>
      <c r="P35" s="82"/>
      <c r="Q35" s="82"/>
    </row>
    <row r="36" spans="1:17" hidden="1" x14ac:dyDescent="0.35">
      <c r="A36" s="41"/>
      <c r="B36" s="42"/>
      <c r="C36" s="11"/>
      <c r="D36" s="11"/>
      <c r="E36" s="3"/>
      <c r="F36" s="18"/>
      <c r="G36" s="9"/>
      <c r="H36" s="10"/>
      <c r="I36" s="10"/>
      <c r="J36" s="76"/>
      <c r="K36" s="2" t="str">
        <f t="shared" si="0"/>
        <v>Failed!</v>
      </c>
      <c r="L36" s="53"/>
      <c r="M36" s="80"/>
      <c r="N36" s="42"/>
      <c r="O36" s="82"/>
      <c r="P36" s="82"/>
      <c r="Q36" s="82"/>
    </row>
    <row r="37" spans="1:17" hidden="1" x14ac:dyDescent="0.35">
      <c r="A37" s="41"/>
      <c r="B37" s="42"/>
      <c r="C37" s="11"/>
      <c r="D37" s="11"/>
      <c r="E37" s="3"/>
      <c r="F37" s="18"/>
      <c r="G37" s="9"/>
      <c r="H37" s="10"/>
      <c r="I37" s="10"/>
      <c r="J37" s="76"/>
      <c r="K37" s="2" t="str">
        <f t="shared" si="0"/>
        <v>Failed!</v>
      </c>
      <c r="L37" s="53"/>
      <c r="M37" s="80"/>
      <c r="N37" s="42"/>
      <c r="O37" s="82"/>
      <c r="P37" s="82"/>
      <c r="Q37" s="82"/>
    </row>
    <row r="38" spans="1:17" hidden="1" x14ac:dyDescent="0.35">
      <c r="A38" s="41"/>
      <c r="B38" s="42"/>
      <c r="C38" s="11"/>
      <c r="D38" s="11"/>
      <c r="E38" s="3"/>
      <c r="F38" s="18"/>
      <c r="G38" s="9"/>
      <c r="H38" s="10"/>
      <c r="I38" s="10"/>
      <c r="J38" s="76"/>
      <c r="K38" s="2" t="str">
        <f t="shared" si="0"/>
        <v>Failed!</v>
      </c>
      <c r="L38" s="53"/>
      <c r="M38" s="80"/>
      <c r="N38" s="42"/>
      <c r="O38" s="82"/>
      <c r="P38" s="82"/>
      <c r="Q38" s="82"/>
    </row>
    <row r="39" spans="1:17" hidden="1" x14ac:dyDescent="0.35">
      <c r="A39" s="41"/>
      <c r="B39" s="42"/>
      <c r="C39" s="11"/>
      <c r="D39" s="11"/>
      <c r="E39" s="3"/>
      <c r="F39" s="18"/>
      <c r="G39" s="9"/>
      <c r="H39" s="10"/>
      <c r="I39" s="10"/>
      <c r="J39" s="76"/>
      <c r="K39" s="2" t="str">
        <f t="shared" si="0"/>
        <v>Failed!</v>
      </c>
      <c r="L39" s="53"/>
      <c r="M39" s="80"/>
      <c r="N39" s="42"/>
      <c r="O39" s="82"/>
      <c r="P39" s="82"/>
      <c r="Q39" s="82"/>
    </row>
    <row r="40" spans="1:17" hidden="1" x14ac:dyDescent="0.35">
      <c r="A40" s="41"/>
      <c r="B40" s="42"/>
      <c r="C40" s="11"/>
      <c r="D40" s="11"/>
      <c r="E40" s="3"/>
      <c r="F40" s="18"/>
      <c r="G40" s="9"/>
      <c r="H40" s="10"/>
      <c r="I40" s="10"/>
      <c r="J40" s="76"/>
      <c r="K40" s="2" t="str">
        <f t="shared" si="0"/>
        <v>Failed!</v>
      </c>
      <c r="L40" s="53"/>
      <c r="M40" s="80"/>
      <c r="N40" s="42"/>
      <c r="O40" s="82"/>
      <c r="P40" s="82"/>
      <c r="Q40" s="82"/>
    </row>
    <row r="41" spans="1:17" hidden="1" x14ac:dyDescent="0.35">
      <c r="A41" s="41"/>
      <c r="B41" s="42"/>
      <c r="C41" s="11"/>
      <c r="D41" s="11"/>
      <c r="E41" s="3"/>
      <c r="F41" s="18"/>
      <c r="G41" s="9"/>
      <c r="H41" s="10"/>
      <c r="I41" s="10"/>
      <c r="J41" s="76"/>
      <c r="K41" s="2" t="str">
        <f t="shared" si="0"/>
        <v>Failed!</v>
      </c>
      <c r="L41" s="53"/>
      <c r="M41" s="80"/>
      <c r="N41" s="42"/>
      <c r="O41" s="82"/>
      <c r="P41" s="82"/>
      <c r="Q41" s="82"/>
    </row>
    <row r="42" spans="1:17" hidden="1" x14ac:dyDescent="0.35">
      <c r="A42" s="41"/>
      <c r="B42" s="42"/>
      <c r="C42" s="11"/>
      <c r="D42" s="11"/>
      <c r="E42" s="3"/>
      <c r="F42" s="18"/>
      <c r="G42" s="9"/>
      <c r="H42" s="10"/>
      <c r="I42" s="10"/>
      <c r="J42" s="76"/>
      <c r="K42" s="2" t="str">
        <f t="shared" si="0"/>
        <v>Failed!</v>
      </c>
      <c r="L42" s="53"/>
      <c r="M42" s="80"/>
      <c r="N42" s="42"/>
      <c r="O42" s="82"/>
      <c r="P42" s="82"/>
      <c r="Q42" s="82"/>
    </row>
    <row r="43" spans="1:17" hidden="1" x14ac:dyDescent="0.35">
      <c r="A43" s="41"/>
      <c r="B43" s="42"/>
      <c r="C43" s="11"/>
      <c r="D43" s="11"/>
      <c r="E43" s="3"/>
      <c r="F43" s="18"/>
      <c r="G43" s="9"/>
      <c r="H43" s="10"/>
      <c r="I43" s="10"/>
      <c r="J43" s="76"/>
      <c r="K43" s="2" t="str">
        <f t="shared" si="0"/>
        <v>Failed!</v>
      </c>
      <c r="L43" s="53"/>
      <c r="M43" s="80"/>
      <c r="N43" s="42"/>
      <c r="O43" s="82"/>
      <c r="P43" s="82"/>
      <c r="Q43" s="82"/>
    </row>
    <row r="44" spans="1:17" hidden="1" x14ac:dyDescent="0.35">
      <c r="A44" s="41"/>
      <c r="B44" s="42"/>
      <c r="C44" s="11"/>
      <c r="D44" s="11"/>
      <c r="E44" s="3"/>
      <c r="F44" s="18"/>
      <c r="G44" s="9"/>
      <c r="H44" s="10"/>
      <c r="I44" s="10"/>
      <c r="J44" s="76"/>
      <c r="K44" s="2" t="str">
        <f t="shared" si="0"/>
        <v>Failed!</v>
      </c>
      <c r="L44" s="53"/>
      <c r="M44" s="80"/>
      <c r="N44" s="42"/>
      <c r="O44" s="82"/>
      <c r="P44" s="82"/>
      <c r="Q44" s="82"/>
    </row>
    <row r="45" spans="1:17" hidden="1" x14ac:dyDescent="0.35">
      <c r="A45" s="41"/>
      <c r="B45" s="42"/>
      <c r="C45" s="11"/>
      <c r="D45" s="11"/>
      <c r="E45" s="3"/>
      <c r="F45" s="18"/>
      <c r="G45" s="9"/>
      <c r="H45" s="10"/>
      <c r="I45" s="10"/>
      <c r="J45" s="76"/>
      <c r="K45" s="2" t="str">
        <f t="shared" si="0"/>
        <v>Failed!</v>
      </c>
      <c r="L45" s="53"/>
      <c r="M45" s="80"/>
      <c r="N45" s="42"/>
      <c r="O45" s="82"/>
      <c r="P45" s="82"/>
      <c r="Q45" s="82"/>
    </row>
    <row r="46" spans="1:17" hidden="1" x14ac:dyDescent="0.35">
      <c r="A46" s="41"/>
      <c r="B46" s="42"/>
      <c r="C46" s="11"/>
      <c r="D46" s="11"/>
      <c r="E46" s="3"/>
      <c r="F46" s="18"/>
      <c r="G46" s="9"/>
      <c r="H46" s="10"/>
      <c r="I46" s="10"/>
      <c r="J46" s="76"/>
      <c r="K46" s="2" t="str">
        <f t="shared" si="0"/>
        <v>Failed!</v>
      </c>
      <c r="L46" s="53"/>
      <c r="M46" s="80"/>
      <c r="N46" s="42"/>
      <c r="O46" s="82"/>
      <c r="P46" s="82"/>
      <c r="Q46" s="82"/>
    </row>
    <row r="47" spans="1:17" hidden="1" x14ac:dyDescent="0.35">
      <c r="A47" s="41"/>
      <c r="B47" s="42"/>
      <c r="C47" s="11"/>
      <c r="D47" s="11"/>
      <c r="E47" s="3"/>
      <c r="F47" s="18"/>
      <c r="G47" s="9"/>
      <c r="H47" s="10"/>
      <c r="I47" s="10"/>
      <c r="J47" s="76"/>
      <c r="K47" s="2" t="str">
        <f t="shared" si="0"/>
        <v>Failed!</v>
      </c>
      <c r="L47" s="53"/>
      <c r="M47" s="80"/>
      <c r="N47" s="42"/>
      <c r="O47" s="82"/>
      <c r="P47" s="82"/>
      <c r="Q47" s="82"/>
    </row>
    <row r="48" spans="1:17" hidden="1" x14ac:dyDescent="0.35">
      <c r="A48" s="41"/>
      <c r="B48" s="42"/>
      <c r="C48" s="11"/>
      <c r="D48" s="11"/>
      <c r="E48" s="3"/>
      <c r="F48" s="18"/>
      <c r="G48" s="9"/>
      <c r="H48" s="10"/>
      <c r="I48" s="10"/>
      <c r="J48" s="76"/>
      <c r="K48" s="2" t="str">
        <f t="shared" si="0"/>
        <v>Failed!</v>
      </c>
      <c r="L48" s="53"/>
      <c r="M48" s="80"/>
      <c r="N48" s="42"/>
      <c r="O48" s="82"/>
      <c r="P48" s="82"/>
      <c r="Q48" s="82"/>
    </row>
    <row r="49" spans="1:17" hidden="1" x14ac:dyDescent="0.35">
      <c r="A49" s="41"/>
      <c r="B49" s="42"/>
      <c r="C49" s="11"/>
      <c r="D49" s="11"/>
      <c r="E49" s="3"/>
      <c r="F49" s="19"/>
      <c r="G49" s="1"/>
      <c r="H49" s="12"/>
      <c r="I49" s="12"/>
      <c r="J49" s="77"/>
      <c r="K49" s="2" t="str">
        <f t="shared" si="0"/>
        <v>Failed!</v>
      </c>
      <c r="L49" s="53"/>
      <c r="M49" s="80"/>
      <c r="N49" s="42"/>
      <c r="O49" s="82"/>
      <c r="P49" s="82"/>
      <c r="Q49" s="82"/>
    </row>
    <row r="50" spans="1:17" hidden="1" x14ac:dyDescent="0.35">
      <c r="A50" s="41"/>
      <c r="B50" s="42"/>
      <c r="C50" s="11"/>
      <c r="D50" s="11"/>
      <c r="E50" s="3"/>
      <c r="F50" s="19"/>
      <c r="G50" s="1"/>
      <c r="H50" s="12"/>
      <c r="I50" s="12"/>
      <c r="J50" s="77"/>
      <c r="K50" s="2" t="str">
        <f t="shared" si="0"/>
        <v>Failed!</v>
      </c>
      <c r="L50" s="53"/>
      <c r="M50" s="80"/>
      <c r="N50" s="42"/>
      <c r="O50" s="82"/>
      <c r="P50" s="82"/>
      <c r="Q50" s="82"/>
    </row>
    <row r="51" spans="1:17" hidden="1" x14ac:dyDescent="0.35">
      <c r="A51" s="41"/>
      <c r="B51" s="42"/>
      <c r="C51" s="11"/>
      <c r="D51" s="11"/>
      <c r="E51" s="3"/>
      <c r="F51" s="19"/>
      <c r="G51" s="1"/>
      <c r="H51" s="12"/>
      <c r="I51" s="12"/>
      <c r="J51" s="77"/>
      <c r="K51" s="2" t="str">
        <f t="shared" si="0"/>
        <v>Failed!</v>
      </c>
      <c r="L51" s="53"/>
      <c r="M51" s="80"/>
      <c r="N51" s="42"/>
      <c r="O51" s="82"/>
      <c r="P51" s="82"/>
      <c r="Q51" s="82"/>
    </row>
    <row r="52" spans="1:17" hidden="1" x14ac:dyDescent="0.35">
      <c r="A52" s="41"/>
      <c r="B52" s="42"/>
      <c r="C52" s="11"/>
      <c r="D52" s="11"/>
      <c r="E52" s="3"/>
      <c r="F52" s="19"/>
      <c r="G52" s="1"/>
      <c r="H52" s="12"/>
      <c r="I52" s="12"/>
      <c r="J52" s="77"/>
      <c r="K52" s="2" t="str">
        <f t="shared" si="0"/>
        <v>Failed!</v>
      </c>
      <c r="L52" s="53"/>
      <c r="M52" s="80"/>
      <c r="N52" s="42"/>
      <c r="O52" s="82"/>
      <c r="P52" s="82"/>
      <c r="Q52" s="82"/>
    </row>
    <row r="53" spans="1:17" hidden="1" x14ac:dyDescent="0.35">
      <c r="A53" s="41"/>
      <c r="B53" s="42"/>
      <c r="C53" s="11"/>
      <c r="D53" s="11"/>
      <c r="E53" s="3"/>
      <c r="F53" s="19"/>
      <c r="G53" s="1"/>
      <c r="H53" s="12"/>
      <c r="I53" s="12"/>
      <c r="J53" s="77"/>
      <c r="K53" s="2" t="str">
        <f t="shared" si="0"/>
        <v>Failed!</v>
      </c>
      <c r="L53" s="53"/>
      <c r="M53" s="80"/>
      <c r="N53" s="42"/>
      <c r="O53" s="82"/>
      <c r="P53" s="82"/>
      <c r="Q53" s="82"/>
    </row>
    <row r="54" spans="1:17" hidden="1" x14ac:dyDescent="0.35">
      <c r="A54" s="41"/>
      <c r="B54" s="42"/>
      <c r="C54" s="11"/>
      <c r="D54" s="11"/>
      <c r="E54" s="3"/>
      <c r="F54" s="19"/>
      <c r="G54" s="1"/>
      <c r="H54" s="12"/>
      <c r="I54" s="12"/>
      <c r="J54" s="77"/>
      <c r="K54" s="2" t="str">
        <f t="shared" si="0"/>
        <v>Failed!</v>
      </c>
      <c r="L54" s="53"/>
      <c r="M54" s="80"/>
      <c r="N54" s="42"/>
      <c r="O54" s="82"/>
      <c r="P54" s="82"/>
      <c r="Q54" s="82"/>
    </row>
    <row r="55" spans="1:17" hidden="1" x14ac:dyDescent="0.35">
      <c r="A55" s="41"/>
      <c r="B55" s="42"/>
      <c r="C55" s="11"/>
      <c r="D55" s="11"/>
      <c r="E55" s="3"/>
      <c r="F55" s="19"/>
      <c r="G55" s="1"/>
      <c r="H55" s="12"/>
      <c r="I55" s="12"/>
      <c r="J55" s="77"/>
      <c r="K55" s="2" t="str">
        <f t="shared" si="0"/>
        <v>Failed!</v>
      </c>
      <c r="L55" s="53"/>
      <c r="M55" s="80"/>
      <c r="N55" s="42"/>
      <c r="O55" s="82"/>
      <c r="P55" s="82"/>
      <c r="Q55" s="82"/>
    </row>
    <row r="56" spans="1:17" hidden="1" x14ac:dyDescent="0.35">
      <c r="A56" s="41"/>
      <c r="B56" s="42"/>
      <c r="C56" s="11"/>
      <c r="D56" s="11"/>
      <c r="E56" s="3"/>
      <c r="F56" s="19"/>
      <c r="G56" s="1"/>
      <c r="H56" s="12"/>
      <c r="I56" s="12"/>
      <c r="J56" s="77"/>
      <c r="K56" s="2" t="str">
        <f t="shared" si="0"/>
        <v>Failed!</v>
      </c>
      <c r="L56" s="53"/>
      <c r="M56" s="80"/>
      <c r="N56" s="42"/>
      <c r="O56" s="82"/>
      <c r="P56" s="82"/>
      <c r="Q56" s="82"/>
    </row>
    <row r="57" spans="1:17" hidden="1" x14ac:dyDescent="0.35">
      <c r="A57" s="41"/>
      <c r="B57" s="42"/>
      <c r="C57" s="11"/>
      <c r="D57" s="11"/>
      <c r="E57" s="3"/>
      <c r="F57" s="19"/>
      <c r="G57" s="1"/>
      <c r="H57" s="12"/>
      <c r="I57" s="12"/>
      <c r="J57" s="77"/>
      <c r="K57" s="2" t="str">
        <f t="shared" si="0"/>
        <v>Failed!</v>
      </c>
      <c r="L57" s="53"/>
      <c r="M57" s="80"/>
      <c r="N57" s="42"/>
      <c r="O57" s="82"/>
      <c r="P57" s="82"/>
      <c r="Q57" s="82"/>
    </row>
    <row r="58" spans="1:17" hidden="1" x14ac:dyDescent="0.35">
      <c r="A58" s="41"/>
      <c r="B58" s="42"/>
      <c r="C58" s="11"/>
      <c r="D58" s="11"/>
      <c r="E58" s="3"/>
      <c r="F58" s="19"/>
      <c r="G58" s="1"/>
      <c r="H58" s="12"/>
      <c r="I58" s="12"/>
      <c r="J58" s="77"/>
      <c r="K58" s="2" t="str">
        <f t="shared" si="0"/>
        <v>Failed!</v>
      </c>
      <c r="L58" s="53"/>
      <c r="M58" s="80"/>
      <c r="N58" s="42"/>
      <c r="O58" s="82"/>
      <c r="P58" s="82"/>
      <c r="Q58" s="82"/>
    </row>
    <row r="59" spans="1:17" hidden="1" x14ac:dyDescent="0.35">
      <c r="A59" s="41"/>
      <c r="B59" s="42"/>
      <c r="C59" s="11"/>
      <c r="D59" s="11"/>
      <c r="E59" s="3"/>
      <c r="F59" s="18"/>
      <c r="G59" s="9"/>
      <c r="H59" s="10"/>
      <c r="I59" s="10"/>
      <c r="J59" s="76"/>
      <c r="K59" s="2" t="str">
        <f t="shared" si="0"/>
        <v>Failed!</v>
      </c>
      <c r="L59" s="53"/>
      <c r="M59" s="80"/>
      <c r="N59" s="42"/>
      <c r="O59" s="82"/>
      <c r="P59" s="82"/>
      <c r="Q59" s="82"/>
    </row>
    <row r="60" spans="1:17" hidden="1" x14ac:dyDescent="0.35">
      <c r="A60" s="41"/>
      <c r="B60" s="42"/>
      <c r="C60" s="11"/>
      <c r="D60" s="11"/>
      <c r="E60" s="3"/>
      <c r="F60" s="18"/>
      <c r="G60" s="9"/>
      <c r="H60" s="10"/>
      <c r="I60" s="10"/>
      <c r="J60" s="76"/>
      <c r="K60" s="2" t="str">
        <f t="shared" si="0"/>
        <v>Failed!</v>
      </c>
      <c r="L60" s="53"/>
      <c r="M60" s="80"/>
      <c r="N60" s="42"/>
      <c r="O60" s="82"/>
      <c r="P60" s="82"/>
      <c r="Q60" s="82"/>
    </row>
    <row r="61" spans="1:17" hidden="1" x14ac:dyDescent="0.35">
      <c r="A61" s="41"/>
      <c r="B61" s="42"/>
      <c r="C61" s="11"/>
      <c r="D61" s="11"/>
      <c r="E61" s="3"/>
      <c r="F61" s="18"/>
      <c r="G61" s="9"/>
      <c r="H61" s="10"/>
      <c r="I61" s="10"/>
      <c r="J61" s="76"/>
      <c r="K61" s="2" t="str">
        <f t="shared" si="0"/>
        <v>Failed!</v>
      </c>
      <c r="L61" s="53"/>
      <c r="M61" s="80"/>
      <c r="N61" s="42"/>
      <c r="O61" s="82"/>
      <c r="P61" s="82"/>
      <c r="Q61" s="82"/>
    </row>
    <row r="62" spans="1:17" hidden="1" x14ac:dyDescent="0.35">
      <c r="A62" s="41"/>
      <c r="B62" s="42"/>
      <c r="C62" s="11"/>
      <c r="D62" s="11"/>
      <c r="E62" s="3"/>
      <c r="F62" s="18"/>
      <c r="G62" s="9"/>
      <c r="H62" s="10"/>
      <c r="I62" s="10"/>
      <c r="J62" s="76"/>
      <c r="K62" s="2" t="str">
        <f t="shared" si="0"/>
        <v>Failed!</v>
      </c>
      <c r="L62" s="53"/>
      <c r="M62" s="80"/>
      <c r="N62" s="42"/>
      <c r="O62" s="82"/>
      <c r="P62" s="82"/>
      <c r="Q62" s="82"/>
    </row>
    <row r="63" spans="1:17" hidden="1" x14ac:dyDescent="0.35">
      <c r="A63" s="41"/>
      <c r="B63" s="42"/>
      <c r="C63" s="11"/>
      <c r="D63" s="11"/>
      <c r="E63" s="3"/>
      <c r="F63" s="18"/>
      <c r="G63" s="9"/>
      <c r="H63" s="10"/>
      <c r="I63" s="10"/>
      <c r="J63" s="76"/>
      <c r="K63" s="2" t="str">
        <f t="shared" si="0"/>
        <v>Failed!</v>
      </c>
      <c r="L63" s="53"/>
      <c r="M63" s="80"/>
      <c r="N63" s="42"/>
      <c r="O63" s="82"/>
      <c r="P63" s="82"/>
      <c r="Q63" s="82"/>
    </row>
    <row r="64" spans="1:17" hidden="1" x14ac:dyDescent="0.35">
      <c r="A64" s="41"/>
      <c r="B64" s="42"/>
      <c r="C64" s="11"/>
      <c r="D64" s="11"/>
      <c r="E64" s="3"/>
      <c r="F64" s="18"/>
      <c r="G64" s="9"/>
      <c r="H64" s="10"/>
      <c r="I64" s="10"/>
      <c r="J64" s="76"/>
      <c r="K64" s="2" t="str">
        <f t="shared" si="0"/>
        <v>Failed!</v>
      </c>
      <c r="L64" s="53"/>
      <c r="M64" s="80"/>
      <c r="N64" s="42"/>
      <c r="O64" s="82"/>
      <c r="P64" s="82"/>
      <c r="Q64" s="82"/>
    </row>
    <row r="65" spans="1:17" hidden="1" x14ac:dyDescent="0.35">
      <c r="A65" s="41"/>
      <c r="B65" s="42"/>
      <c r="C65" s="11"/>
      <c r="D65" s="11"/>
      <c r="E65" s="3"/>
      <c r="F65" s="18"/>
      <c r="G65" s="9"/>
      <c r="H65" s="10"/>
      <c r="I65" s="10"/>
      <c r="J65" s="76"/>
      <c r="K65" s="2" t="str">
        <f t="shared" si="0"/>
        <v>Failed!</v>
      </c>
      <c r="L65" s="53"/>
      <c r="M65" s="80"/>
      <c r="N65" s="42"/>
      <c r="O65" s="82"/>
      <c r="P65" s="82"/>
      <c r="Q65" s="82"/>
    </row>
    <row r="66" spans="1:17" hidden="1" x14ac:dyDescent="0.35">
      <c r="A66" s="41"/>
      <c r="B66" s="42"/>
      <c r="C66" s="11"/>
      <c r="D66" s="11"/>
      <c r="E66" s="3"/>
      <c r="F66" s="18"/>
      <c r="G66" s="9"/>
      <c r="H66" s="10"/>
      <c r="I66" s="10"/>
      <c r="J66" s="76"/>
      <c r="K66" s="2" t="str">
        <f t="shared" si="0"/>
        <v>Failed!</v>
      </c>
      <c r="L66" s="53"/>
      <c r="M66" s="80"/>
      <c r="N66" s="42"/>
      <c r="O66" s="82"/>
      <c r="P66" s="82"/>
      <c r="Q66" s="82"/>
    </row>
    <row r="67" spans="1:17" hidden="1" x14ac:dyDescent="0.35">
      <c r="A67" s="41"/>
      <c r="B67" s="42"/>
      <c r="C67" s="11"/>
      <c r="D67" s="11"/>
      <c r="E67" s="3"/>
      <c r="F67" s="18"/>
      <c r="G67" s="9"/>
      <c r="H67" s="10"/>
      <c r="I67" s="10"/>
      <c r="J67" s="76"/>
      <c r="K67" s="2" t="str">
        <f t="shared" si="0"/>
        <v>Failed!</v>
      </c>
      <c r="L67" s="53"/>
      <c r="M67" s="80"/>
      <c r="N67" s="42"/>
      <c r="O67" s="82"/>
      <c r="P67" s="82"/>
      <c r="Q67" s="82"/>
    </row>
    <row r="68" spans="1:17" hidden="1" x14ac:dyDescent="0.35">
      <c r="A68" s="41"/>
      <c r="B68" s="42"/>
      <c r="C68" s="11"/>
      <c r="D68" s="11"/>
      <c r="E68" s="3"/>
      <c r="F68" s="18"/>
      <c r="G68" s="9"/>
      <c r="H68" s="10"/>
      <c r="I68" s="10"/>
      <c r="J68" s="76"/>
      <c r="K68" s="2" t="str">
        <f t="shared" si="0"/>
        <v>Failed!</v>
      </c>
      <c r="L68" s="53"/>
      <c r="M68" s="80"/>
      <c r="N68" s="42"/>
      <c r="O68" s="82"/>
      <c r="P68" s="82"/>
      <c r="Q68" s="82"/>
    </row>
    <row r="69" spans="1:17" hidden="1" x14ac:dyDescent="0.35">
      <c r="A69" s="41"/>
      <c r="B69" s="42"/>
      <c r="C69" s="11"/>
      <c r="D69" s="11"/>
      <c r="E69" s="3"/>
      <c r="F69" s="18"/>
      <c r="G69" s="9"/>
      <c r="H69" s="10"/>
      <c r="I69" s="10"/>
      <c r="J69" s="76"/>
      <c r="K69" s="2" t="str">
        <f t="shared" si="0"/>
        <v>Failed!</v>
      </c>
      <c r="L69" s="53"/>
      <c r="M69" s="80"/>
      <c r="N69" s="42"/>
      <c r="O69" s="82"/>
      <c r="P69" s="82"/>
      <c r="Q69" s="82"/>
    </row>
    <row r="70" spans="1:17" hidden="1" x14ac:dyDescent="0.35">
      <c r="A70" s="41"/>
      <c r="B70" s="42"/>
      <c r="C70" s="11"/>
      <c r="D70" s="11"/>
      <c r="E70" s="3"/>
      <c r="F70" s="18"/>
      <c r="G70" s="9"/>
      <c r="H70" s="10"/>
      <c r="I70" s="10"/>
      <c r="J70" s="76"/>
      <c r="K70" s="2" t="str">
        <f t="shared" si="0"/>
        <v>Failed!</v>
      </c>
      <c r="L70" s="53"/>
      <c r="M70" s="80"/>
      <c r="N70" s="42"/>
      <c r="O70" s="82"/>
      <c r="P70" s="82"/>
      <c r="Q70" s="82"/>
    </row>
    <row r="71" spans="1:17" hidden="1" x14ac:dyDescent="0.35">
      <c r="A71" s="41"/>
      <c r="B71" s="42"/>
      <c r="C71" s="11"/>
      <c r="D71" s="11"/>
      <c r="E71" s="3"/>
      <c r="F71" s="18"/>
      <c r="G71" s="9"/>
      <c r="H71" s="10"/>
      <c r="I71" s="10"/>
      <c r="J71" s="76"/>
      <c r="K71" s="2" t="str">
        <f t="shared" si="0"/>
        <v>Failed!</v>
      </c>
      <c r="L71" s="53"/>
      <c r="M71" s="80"/>
      <c r="N71" s="42"/>
      <c r="O71" s="82"/>
      <c r="P71" s="82"/>
      <c r="Q71" s="82"/>
    </row>
    <row r="72" spans="1:17" hidden="1" x14ac:dyDescent="0.35">
      <c r="A72" s="41"/>
      <c r="B72" s="42"/>
      <c r="C72" s="11"/>
      <c r="D72" s="11"/>
      <c r="E72" s="3"/>
      <c r="F72" s="18"/>
      <c r="G72" s="9"/>
      <c r="H72" s="10"/>
      <c r="I72" s="10"/>
      <c r="J72" s="76"/>
      <c r="K72" s="2" t="str">
        <f t="shared" si="0"/>
        <v>Failed!</v>
      </c>
      <c r="L72" s="53"/>
      <c r="M72" s="80"/>
      <c r="N72" s="42"/>
      <c r="O72" s="82"/>
      <c r="P72" s="82"/>
      <c r="Q72" s="82"/>
    </row>
    <row r="73" spans="1:17" hidden="1" x14ac:dyDescent="0.35">
      <c r="A73" s="41"/>
      <c r="B73" s="42"/>
      <c r="C73" s="11"/>
      <c r="D73" s="11"/>
      <c r="E73" s="3"/>
      <c r="F73" s="18"/>
      <c r="G73" s="9"/>
      <c r="H73" s="10"/>
      <c r="I73" s="10"/>
      <c r="J73" s="76"/>
      <c r="K73" s="2" t="str">
        <f t="shared" si="0"/>
        <v>Failed!</v>
      </c>
      <c r="L73" s="53"/>
      <c r="M73" s="80"/>
      <c r="N73" s="42"/>
      <c r="O73" s="82"/>
      <c r="P73" s="82"/>
      <c r="Q73" s="82"/>
    </row>
    <row r="74" spans="1:17" hidden="1" x14ac:dyDescent="0.35">
      <c r="A74" s="41"/>
      <c r="B74" s="42"/>
      <c r="C74" s="11"/>
      <c r="D74" s="11"/>
      <c r="E74" s="3"/>
      <c r="F74" s="18"/>
      <c r="G74" s="9"/>
      <c r="H74" s="10"/>
      <c r="I74" s="10"/>
      <c r="J74" s="76"/>
      <c r="K74" s="2" t="str">
        <f t="shared" ref="K74:K88" si="1">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1"/>
        <v>Failed!</v>
      </c>
      <c r="L75" s="53"/>
      <c r="M75" s="80"/>
      <c r="N75" s="42"/>
      <c r="O75" s="82"/>
      <c r="P75" s="82"/>
      <c r="Q75" s="82"/>
    </row>
    <row r="76" spans="1:17" hidden="1" x14ac:dyDescent="0.35">
      <c r="A76" s="41"/>
      <c r="B76" s="42"/>
      <c r="C76" s="11"/>
      <c r="D76" s="11"/>
      <c r="E76" s="3"/>
      <c r="F76" s="18"/>
      <c r="G76" s="9"/>
      <c r="H76" s="10"/>
      <c r="I76" s="10"/>
      <c r="J76" s="76"/>
      <c r="K76" s="2" t="str">
        <f t="shared" si="1"/>
        <v>Failed!</v>
      </c>
      <c r="L76" s="53"/>
      <c r="M76" s="80"/>
      <c r="N76" s="42"/>
      <c r="O76" s="82"/>
      <c r="P76" s="82"/>
      <c r="Q76" s="82"/>
    </row>
    <row r="77" spans="1:17" hidden="1" x14ac:dyDescent="0.35">
      <c r="A77" s="41"/>
      <c r="B77" s="42"/>
      <c r="C77" s="11"/>
      <c r="D77" s="11"/>
      <c r="E77" s="3"/>
      <c r="F77" s="18"/>
      <c r="G77" s="9"/>
      <c r="H77" s="10"/>
      <c r="I77" s="10"/>
      <c r="J77" s="76"/>
      <c r="K77" s="2" t="str">
        <f t="shared" si="1"/>
        <v>Failed!</v>
      </c>
      <c r="L77" s="53"/>
      <c r="M77" s="80"/>
      <c r="N77" s="42"/>
      <c r="O77" s="82"/>
      <c r="P77" s="82"/>
      <c r="Q77" s="82"/>
    </row>
    <row r="78" spans="1:17" hidden="1" x14ac:dyDescent="0.35">
      <c r="A78" s="41"/>
      <c r="B78" s="42"/>
      <c r="C78" s="11"/>
      <c r="D78" s="11"/>
      <c r="E78" s="3"/>
      <c r="F78" s="18"/>
      <c r="G78" s="9"/>
      <c r="H78" s="10"/>
      <c r="I78" s="10"/>
      <c r="J78" s="76"/>
      <c r="K78" s="2" t="str">
        <f t="shared" si="1"/>
        <v>Failed!</v>
      </c>
      <c r="L78" s="53"/>
      <c r="M78" s="80"/>
      <c r="N78" s="42"/>
      <c r="O78" s="82"/>
      <c r="P78" s="82"/>
      <c r="Q78" s="82"/>
    </row>
    <row r="79" spans="1:17" hidden="1" x14ac:dyDescent="0.35">
      <c r="A79" s="41"/>
      <c r="B79" s="42"/>
      <c r="C79" s="11"/>
      <c r="D79" s="11"/>
      <c r="E79" s="3"/>
      <c r="F79" s="18"/>
      <c r="G79" s="9"/>
      <c r="H79" s="10"/>
      <c r="I79" s="10"/>
      <c r="J79" s="76"/>
      <c r="K79" s="2" t="str">
        <f t="shared" si="1"/>
        <v>Failed!</v>
      </c>
      <c r="L79" s="53"/>
      <c r="M79" s="80"/>
      <c r="N79" s="42"/>
      <c r="O79" s="82"/>
      <c r="P79" s="82"/>
      <c r="Q79" s="82"/>
    </row>
    <row r="80" spans="1:17" hidden="1" x14ac:dyDescent="0.35">
      <c r="A80" s="41"/>
      <c r="B80" s="42"/>
      <c r="C80" s="11"/>
      <c r="D80" s="11"/>
      <c r="E80" s="3"/>
      <c r="F80" s="18"/>
      <c r="G80" s="9"/>
      <c r="H80" s="10"/>
      <c r="I80" s="10"/>
      <c r="J80" s="76"/>
      <c r="K80" s="2" t="str">
        <f t="shared" si="1"/>
        <v>Failed!</v>
      </c>
      <c r="L80" s="53"/>
      <c r="M80" s="80"/>
      <c r="N80" s="42"/>
      <c r="O80" s="82"/>
      <c r="P80" s="82"/>
      <c r="Q80" s="82"/>
    </row>
    <row r="81" spans="1:17" hidden="1" x14ac:dyDescent="0.35">
      <c r="A81" s="41"/>
      <c r="B81" s="42"/>
      <c r="C81" s="11"/>
      <c r="D81" s="11"/>
      <c r="E81" s="3"/>
      <c r="F81" s="18"/>
      <c r="G81" s="9"/>
      <c r="H81" s="10"/>
      <c r="I81" s="10"/>
      <c r="J81" s="76"/>
      <c r="K81" s="2" t="str">
        <f t="shared" si="1"/>
        <v>Failed!</v>
      </c>
      <c r="L81" s="53"/>
      <c r="M81" s="80"/>
      <c r="N81" s="42"/>
      <c r="O81" s="82"/>
      <c r="P81" s="82"/>
      <c r="Q81" s="82"/>
    </row>
    <row r="82" spans="1:17" hidden="1" x14ac:dyDescent="0.35">
      <c r="A82" s="41"/>
      <c r="B82" s="42"/>
      <c r="C82" s="11"/>
      <c r="D82" s="11"/>
      <c r="E82" s="3"/>
      <c r="F82" s="18"/>
      <c r="G82" s="9"/>
      <c r="H82" s="10"/>
      <c r="I82" s="10"/>
      <c r="J82" s="76"/>
      <c r="K82" s="2" t="str">
        <f t="shared" si="1"/>
        <v>Failed!</v>
      </c>
      <c r="L82" s="53"/>
      <c r="M82" s="80"/>
      <c r="N82" s="42"/>
      <c r="O82" s="82"/>
      <c r="P82" s="82"/>
      <c r="Q82" s="82"/>
    </row>
    <row r="83" spans="1:17" hidden="1" x14ac:dyDescent="0.35">
      <c r="A83" s="41"/>
      <c r="B83" s="42"/>
      <c r="C83" s="11"/>
      <c r="D83" s="11"/>
      <c r="E83" s="3"/>
      <c r="F83" s="18"/>
      <c r="G83" s="9"/>
      <c r="H83" s="10"/>
      <c r="I83" s="10"/>
      <c r="J83" s="76"/>
      <c r="K83" s="2" t="str">
        <f t="shared" si="1"/>
        <v>Failed!</v>
      </c>
      <c r="L83" s="53"/>
      <c r="M83" s="80"/>
      <c r="N83" s="42"/>
      <c r="O83" s="82"/>
      <c r="P83" s="82"/>
      <c r="Q83" s="82"/>
    </row>
    <row r="84" spans="1:17" hidden="1" x14ac:dyDescent="0.35">
      <c r="A84" s="41"/>
      <c r="B84" s="42"/>
      <c r="C84" s="11"/>
      <c r="D84" s="11"/>
      <c r="E84" s="3"/>
      <c r="F84" s="18"/>
      <c r="G84" s="9"/>
      <c r="H84" s="10"/>
      <c r="I84" s="10"/>
      <c r="J84" s="76"/>
      <c r="K84" s="2" t="str">
        <f t="shared" si="1"/>
        <v>Failed!</v>
      </c>
      <c r="L84" s="53"/>
      <c r="M84" s="80"/>
      <c r="N84" s="42"/>
      <c r="O84" s="82"/>
      <c r="P84" s="82"/>
      <c r="Q84" s="82"/>
    </row>
    <row r="85" spans="1:17" hidden="1" x14ac:dyDescent="0.35">
      <c r="A85" s="41"/>
      <c r="B85" s="42"/>
      <c r="C85" s="11"/>
      <c r="D85" s="11"/>
      <c r="E85" s="3"/>
      <c r="F85" s="18"/>
      <c r="G85" s="9"/>
      <c r="H85" s="10"/>
      <c r="I85" s="10"/>
      <c r="J85" s="76"/>
      <c r="K85" s="2" t="str">
        <f t="shared" si="1"/>
        <v>Failed!</v>
      </c>
      <c r="L85" s="53"/>
      <c r="M85" s="80"/>
      <c r="N85" s="42"/>
      <c r="O85" s="82"/>
      <c r="P85" s="82"/>
      <c r="Q85" s="82"/>
    </row>
    <row r="86" spans="1:17" hidden="1" x14ac:dyDescent="0.35">
      <c r="A86" s="41"/>
      <c r="B86" s="42"/>
      <c r="C86" s="11"/>
      <c r="D86" s="11"/>
      <c r="E86" s="3"/>
      <c r="F86" s="18"/>
      <c r="G86" s="9"/>
      <c r="H86" s="10"/>
      <c r="I86" s="10"/>
      <c r="J86" s="76"/>
      <c r="K86" s="2" t="str">
        <f t="shared" si="1"/>
        <v>Failed!</v>
      </c>
      <c r="L86" s="53"/>
      <c r="M86" s="80"/>
      <c r="N86" s="42"/>
      <c r="O86" s="82"/>
      <c r="P86" s="82"/>
      <c r="Q86" s="82"/>
    </row>
    <row r="87" spans="1:17" hidden="1" x14ac:dyDescent="0.35">
      <c r="A87" s="41"/>
      <c r="B87" s="42"/>
      <c r="C87" s="11"/>
      <c r="D87" s="11"/>
      <c r="E87" s="3"/>
      <c r="F87" s="18"/>
      <c r="G87" s="9"/>
      <c r="H87" s="10"/>
      <c r="I87" s="10"/>
      <c r="J87" s="76"/>
      <c r="K87" s="2" t="str">
        <f t="shared" si="1"/>
        <v>Failed!</v>
      </c>
      <c r="L87" s="53"/>
      <c r="M87" s="80"/>
      <c r="N87" s="42"/>
      <c r="O87" s="82"/>
      <c r="P87" s="82"/>
      <c r="Q87" s="82"/>
    </row>
    <row r="88" spans="1:17" hidden="1" x14ac:dyDescent="0.35">
      <c r="A88" s="41"/>
      <c r="B88" s="42"/>
      <c r="C88" s="11"/>
      <c r="D88" s="11"/>
      <c r="E88" s="3"/>
      <c r="F88" s="18"/>
      <c r="G88" s="9"/>
      <c r="H88" s="10"/>
      <c r="I88" s="10"/>
      <c r="J88" s="76"/>
      <c r="K88" s="2" t="str">
        <f t="shared" si="1"/>
        <v>Failed!</v>
      </c>
      <c r="L88" s="53"/>
      <c r="M88" s="80"/>
      <c r="N88" s="42"/>
      <c r="O88" s="82"/>
      <c r="P88" s="82"/>
      <c r="Q88" s="82"/>
    </row>
    <row r="89" spans="1:17" x14ac:dyDescent="0.35">
      <c r="M89" s="4"/>
    </row>
    <row r="90" spans="1:17" x14ac:dyDescent="0.35">
      <c r="F90" s="4">
        <f>COUNTA(F10:F88)</f>
        <v>2</v>
      </c>
      <c r="G90" s="2" t="s">
        <v>14</v>
      </c>
      <c r="H90" s="40">
        <f>MAX(H10:H88)</f>
        <v>49</v>
      </c>
      <c r="I90" s="40">
        <f>MAX(I10:I88)</f>
        <v>50</v>
      </c>
      <c r="J90" s="40">
        <f>MAX(L10:L88)</f>
        <v>49.5</v>
      </c>
      <c r="M90" s="4"/>
    </row>
    <row r="91" spans="1:17" x14ac:dyDescent="0.35">
      <c r="G91" s="2" t="s">
        <v>12</v>
      </c>
      <c r="H91" s="40">
        <f>AVERAGE(H10:H88)</f>
        <v>29.5</v>
      </c>
      <c r="I91" s="40">
        <f>AVERAGE(I10:I88)</f>
        <v>36</v>
      </c>
      <c r="J91" s="40">
        <f>AVERAGE(L10:L88)</f>
        <v>32.75</v>
      </c>
      <c r="M91" s="4"/>
    </row>
    <row r="92" spans="1:17" x14ac:dyDescent="0.35">
      <c r="G92" s="2" t="s">
        <v>15</v>
      </c>
      <c r="H92" s="40">
        <f>MIN(H10:H88)</f>
        <v>10</v>
      </c>
      <c r="I92" s="40">
        <f>MIN(I10:I88)</f>
        <v>22</v>
      </c>
      <c r="J92" s="40">
        <f>MIN(L10:L88)</f>
        <v>16</v>
      </c>
      <c r="M92" s="4"/>
    </row>
    <row r="93" spans="1:17" x14ac:dyDescent="0.35">
      <c r="G93" s="2" t="s">
        <v>13</v>
      </c>
      <c r="H93" s="40">
        <f>STDEV(H10:H88)</f>
        <v>27.577164466275352</v>
      </c>
      <c r="I93" s="40">
        <f>STDEV(I10:I88)</f>
        <v>19.798989873223331</v>
      </c>
      <c r="J93" s="40">
        <f>STDEV(L10:L88)</f>
        <v>23.688077169749342</v>
      </c>
      <c r="M93" s="4"/>
    </row>
    <row r="94" spans="1:17" x14ac:dyDescent="0.35">
      <c r="G94" s="2" t="str">
        <f>"Failed count ( &lt; " &amp; K6 &amp; " )"</f>
        <v>Failed count ( &lt; 40 )</v>
      </c>
      <c r="H94" s="50">
        <f>COUNTIF(H10:H88, "&lt;40")</f>
        <v>1</v>
      </c>
      <c r="I94" s="50">
        <f>COUNTIF(I10:I88, "&lt;40")</f>
        <v>1</v>
      </c>
      <c r="J94" s="50">
        <f>COUNTIF(L10:L88, "&lt;40")</f>
        <v>1</v>
      </c>
      <c r="M94" s="4"/>
    </row>
    <row r="95" spans="1:17" x14ac:dyDescent="0.35">
      <c r="G95" s="2" t="s">
        <v>16</v>
      </c>
      <c r="H95" s="49">
        <f>1-H94/$F90</f>
        <v>0.5</v>
      </c>
      <c r="I95" s="49">
        <f>1-I94/$F90</f>
        <v>0.5</v>
      </c>
      <c r="J95" s="49">
        <f>1-J94/$F90</f>
        <v>0.5</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11" priority="1" operator="lessThan">
      <formula>$K$6</formula>
    </cfRule>
  </conditionalFormatting>
  <conditionalFormatting sqref="F10:I88">
    <cfRule type="expression" dxfId="10" priority="2" stopIfTrue="1">
      <formula>F10=A10</formula>
    </cfRule>
    <cfRule type="expression" dxfId="9" priority="3" stopIfTrue="1">
      <formula>F10&lt;&gt;A10</formula>
    </cfRule>
  </conditionalFormatting>
  <conditionalFormatting sqref="M10:Q11">
    <cfRule type="expression" dxfId="8" priority="4" stopIfTrue="1">
      <formula>M10=F10</formula>
    </cfRule>
    <cfRule type="expression" dxfId="7"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81922"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81923"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R109"/>
  <sheetViews>
    <sheetView tabSelected="1" zoomScaleNormal="100" workbookViewId="0">
      <pane xSplit="1" ySplit="9" topLeftCell="G40" activePane="bottomRight" state="frozen"/>
      <selection activeCell="E16" sqref="E16"/>
      <selection pane="topRight" activeCell="E16" sqref="E16"/>
      <selection pane="bottomLeft" activeCell="E16" sqref="E16"/>
      <selection pane="bottomRight" activeCell="H35" sqref="H35"/>
    </sheetView>
  </sheetViews>
  <sheetFormatPr defaultColWidth="9.1796875" defaultRowHeight="14.5" x14ac:dyDescent="0.35"/>
  <cols>
    <col min="1" max="1" width="14.81640625" style="2" customWidth="1"/>
    <col min="2" max="2" width="33.7265625" style="2" customWidth="1"/>
    <col min="3" max="5" width="9.1796875" style="2"/>
    <col min="6" max="6" width="14.7265625" style="4" customWidth="1"/>
    <col min="7" max="7" width="33.7265625" style="2" customWidth="1"/>
    <col min="8" max="10" width="9.1796875" style="40"/>
    <col min="11" max="11" width="12.7265625" style="2" customWidth="1"/>
    <col min="12" max="12" width="9.1796875" style="2"/>
    <col min="13" max="13" width="14.7265625" style="2" customWidth="1"/>
    <col min="14" max="14" width="33.7265625" style="2" customWidth="1"/>
    <col min="15" max="17" width="9.1796875" style="40"/>
    <col min="18" max="16384" width="9.1796875" style="2"/>
  </cols>
  <sheetData>
    <row r="1" spans="1:18" x14ac:dyDescent="0.35">
      <c r="A1" s="48" t="s">
        <v>7</v>
      </c>
      <c r="D1" s="2" t="s">
        <v>66</v>
      </c>
      <c r="F1" s="58" t="s">
        <v>35</v>
      </c>
      <c r="G1" s="5"/>
      <c r="L1" s="52"/>
      <c r="M1" s="54" t="s">
        <v>34</v>
      </c>
    </row>
    <row r="2" spans="1:18" x14ac:dyDescent="0.35">
      <c r="A2" s="22" t="s">
        <v>11</v>
      </c>
      <c r="B2" s="21">
        <f>COUNTA(B10:B88)</f>
        <v>37</v>
      </c>
      <c r="F2" s="59" t="s">
        <v>40</v>
      </c>
      <c r="G2" s="2" t="s">
        <v>67</v>
      </c>
      <c r="J2" s="60" t="str" cm="1">
        <f t="array" aca="1" ref="J2" ca="1">IF([1]!FileExist(N4 &amp; G2), "", "Error! File does not exist!!!")</f>
        <v/>
      </c>
      <c r="L2" s="52"/>
      <c r="M2" s="47" t="s">
        <v>36</v>
      </c>
      <c r="O2" s="55"/>
    </row>
    <row r="3" spans="1:18" x14ac:dyDescent="0.35">
      <c r="F3" s="59" t="s">
        <v>42</v>
      </c>
      <c r="L3" s="52"/>
      <c r="M3" s="47" t="s">
        <v>47</v>
      </c>
    </row>
    <row r="4" spans="1:18" x14ac:dyDescent="0.35">
      <c r="A4" s="20" t="s">
        <v>0</v>
      </c>
      <c r="B4" s="13" t="s">
        <v>244</v>
      </c>
      <c r="C4" s="17"/>
      <c r="D4" s="15"/>
      <c r="F4" s="59" t="s">
        <v>43</v>
      </c>
      <c r="L4" s="52"/>
      <c r="M4" s="75" t="s">
        <v>50</v>
      </c>
      <c r="N4" s="61" t="str" cm="1">
        <f t="array" aca="1" ref="N4" ca="1">LEFT(CELL("filename",A1),FIND("[",CELL("filename",A1))-1)</f>
        <v>C:\Users\usha.jayahkudy\Desktop\Master Listing\BCSCU\April 2021\</v>
      </c>
    </row>
    <row r="5" spans="1:18" x14ac:dyDescent="0.35">
      <c r="A5" s="20" t="s">
        <v>1</v>
      </c>
      <c r="B5" s="13" t="s">
        <v>245</v>
      </c>
      <c r="C5" s="14"/>
      <c r="D5" s="16"/>
      <c r="F5" s="59" t="s">
        <v>38</v>
      </c>
      <c r="L5" s="52"/>
      <c r="M5" s="47" t="s">
        <v>49</v>
      </c>
    </row>
    <row r="6" spans="1:18" x14ac:dyDescent="0.35">
      <c r="A6" s="20" t="s">
        <v>37</v>
      </c>
      <c r="B6" s="13" t="s">
        <v>68</v>
      </c>
      <c r="C6" s="14"/>
      <c r="D6" s="16"/>
      <c r="F6" s="59" t="s">
        <v>54</v>
      </c>
      <c r="J6" s="70">
        <v>35</v>
      </c>
      <c r="K6" s="70">
        <v>40</v>
      </c>
      <c r="L6" s="52"/>
      <c r="N6" s="51" t="str">
        <f>"int389com - bcscu.pdf"</f>
        <v>int389com - bcscu.pdf</v>
      </c>
      <c r="P6" s="83" t="str" cm="1">
        <f t="array" aca="1" ref="P6" ca="1">IF([1]!FileExist(N4 &amp; "SAB\" &amp; N6), "", "Error! File does not exist!!!")</f>
        <v/>
      </c>
    </row>
    <row r="7" spans="1:18" x14ac:dyDescent="0.35">
      <c r="A7" s="7"/>
      <c r="B7" s="7"/>
      <c r="D7" s="3"/>
      <c r="F7" s="59" t="s">
        <v>44</v>
      </c>
      <c r="L7" s="52"/>
      <c r="M7" s="47" t="s">
        <v>48</v>
      </c>
    </row>
    <row r="8" spans="1:18" x14ac:dyDescent="0.35">
      <c r="D8" s="3"/>
      <c r="F8" s="59" t="s">
        <v>45</v>
      </c>
      <c r="G8" s="6"/>
      <c r="H8" s="44"/>
      <c r="I8" s="44"/>
      <c r="L8" s="52"/>
      <c r="M8" s="54" t="s">
        <v>61</v>
      </c>
    </row>
    <row r="9" spans="1:18" x14ac:dyDescent="0.35">
      <c r="A9" s="56" t="s">
        <v>33</v>
      </c>
      <c r="B9" s="57" t="s">
        <v>4</v>
      </c>
      <c r="C9" s="57" t="s">
        <v>2</v>
      </c>
      <c r="D9" s="57" t="s">
        <v>3</v>
      </c>
      <c r="E9" s="3"/>
      <c r="F9" s="8" t="s">
        <v>9</v>
      </c>
      <c r="G9" s="8" t="s">
        <v>8</v>
      </c>
      <c r="H9" s="45" t="s">
        <v>6</v>
      </c>
      <c r="I9" s="45" t="s">
        <v>5</v>
      </c>
      <c r="J9" s="45" t="s">
        <v>7</v>
      </c>
      <c r="K9" s="8" t="s">
        <v>10</v>
      </c>
      <c r="M9" s="46" t="s">
        <v>9</v>
      </c>
      <c r="N9" s="46" t="s">
        <v>8</v>
      </c>
      <c r="O9" s="81" t="s">
        <v>6</v>
      </c>
      <c r="P9" s="81" t="s">
        <v>5</v>
      </c>
      <c r="Q9" s="81" t="s">
        <v>7</v>
      </c>
      <c r="R9" s="46" t="s">
        <v>403</v>
      </c>
    </row>
    <row r="10" spans="1:18" x14ac:dyDescent="0.35">
      <c r="A10" s="41">
        <v>9856345</v>
      </c>
      <c r="B10" s="42" t="s">
        <v>190</v>
      </c>
      <c r="C10" s="11">
        <v>60.4</v>
      </c>
      <c r="D10" s="11" t="s">
        <v>69</v>
      </c>
      <c r="E10" s="3"/>
      <c r="F10" s="18">
        <v>9856345</v>
      </c>
      <c r="G10" s="9" t="s">
        <v>387</v>
      </c>
      <c r="H10" s="10">
        <v>60.4</v>
      </c>
      <c r="I10" s="10" t="s">
        <v>69</v>
      </c>
      <c r="J10" s="76">
        <v>60.4</v>
      </c>
      <c r="K10" s="2" t="s">
        <v>398</v>
      </c>
      <c r="L10" s="53">
        <v>60.4</v>
      </c>
      <c r="M10" s="80">
        <v>9856345</v>
      </c>
      <c r="N10" s="42" t="s">
        <v>477</v>
      </c>
      <c r="O10" s="82">
        <v>60.4</v>
      </c>
      <c r="P10" s="82" t="s">
        <v>69</v>
      </c>
      <c r="Q10" s="82">
        <v>60.4</v>
      </c>
      <c r="R10" s="84">
        <f t="shared" ref="R10:R46" si="0">ROUND(Q10 - ABS(J10), 2)</f>
        <v>0</v>
      </c>
    </row>
    <row r="11" spans="1:18" x14ac:dyDescent="0.35">
      <c r="A11" s="41">
        <v>9856312</v>
      </c>
      <c r="B11" s="43" t="s">
        <v>396</v>
      </c>
      <c r="C11" s="11">
        <v>57</v>
      </c>
      <c r="D11" s="11" t="s">
        <v>69</v>
      </c>
      <c r="E11" s="3"/>
      <c r="F11" s="18">
        <v>9856312</v>
      </c>
      <c r="G11" s="9" t="s">
        <v>388</v>
      </c>
      <c r="H11" s="10">
        <v>57</v>
      </c>
      <c r="I11" s="10" t="s">
        <v>69</v>
      </c>
      <c r="J11" s="76">
        <v>57</v>
      </c>
      <c r="K11" s="2" t="s">
        <v>398</v>
      </c>
      <c r="L11" s="53">
        <v>57</v>
      </c>
      <c r="M11" s="80">
        <v>9856312</v>
      </c>
      <c r="N11" s="42" t="s">
        <v>478</v>
      </c>
      <c r="O11" s="82">
        <v>57</v>
      </c>
      <c r="P11" s="82" t="s">
        <v>69</v>
      </c>
      <c r="Q11" s="82">
        <v>57</v>
      </c>
      <c r="R11" s="84">
        <f t="shared" si="0"/>
        <v>0</v>
      </c>
    </row>
    <row r="12" spans="1:18" x14ac:dyDescent="0.35">
      <c r="A12" s="41">
        <v>9856529</v>
      </c>
      <c r="B12" s="42" t="s">
        <v>191</v>
      </c>
      <c r="C12" s="11">
        <v>60.1</v>
      </c>
      <c r="D12" s="11" t="s">
        <v>69</v>
      </c>
      <c r="E12" s="3"/>
      <c r="F12" s="18">
        <v>9856529</v>
      </c>
      <c r="G12" s="9" t="s">
        <v>389</v>
      </c>
      <c r="H12" s="10">
        <v>60.1</v>
      </c>
      <c r="I12" s="10" t="s">
        <v>69</v>
      </c>
      <c r="J12" s="76">
        <v>60.1</v>
      </c>
      <c r="K12" s="2" t="s">
        <v>398</v>
      </c>
      <c r="L12" s="53">
        <v>60.1</v>
      </c>
      <c r="M12" s="80">
        <v>9856529</v>
      </c>
      <c r="N12" s="42" t="s">
        <v>479</v>
      </c>
      <c r="O12" s="82">
        <v>60.1</v>
      </c>
      <c r="P12" s="82" t="s">
        <v>69</v>
      </c>
      <c r="Q12" s="82">
        <v>60.1</v>
      </c>
      <c r="R12" s="84">
        <f t="shared" si="0"/>
        <v>0</v>
      </c>
    </row>
    <row r="13" spans="1:18" x14ac:dyDescent="0.35">
      <c r="A13" s="41">
        <v>10447947</v>
      </c>
      <c r="B13" s="42" t="s">
        <v>155</v>
      </c>
      <c r="C13" s="11">
        <v>66.400000000000006</v>
      </c>
      <c r="D13" s="11" t="s">
        <v>69</v>
      </c>
      <c r="E13" s="3"/>
      <c r="F13" s="18">
        <v>10447947</v>
      </c>
      <c r="G13" s="9" t="s">
        <v>314</v>
      </c>
      <c r="H13" s="10">
        <v>66.400000000000006</v>
      </c>
      <c r="I13" s="10" t="s">
        <v>69</v>
      </c>
      <c r="J13" s="76">
        <v>66.400000000000006</v>
      </c>
      <c r="K13" s="2" t="s">
        <v>398</v>
      </c>
      <c r="L13" s="53">
        <v>66.400000000000006</v>
      </c>
      <c r="M13" s="80">
        <v>10447947</v>
      </c>
      <c r="N13" s="42" t="s">
        <v>463</v>
      </c>
      <c r="O13" s="82">
        <v>66.400000000000006</v>
      </c>
      <c r="P13" s="82" t="s">
        <v>69</v>
      </c>
      <c r="Q13" s="82">
        <v>66.400000000000006</v>
      </c>
      <c r="R13" s="84">
        <f t="shared" si="0"/>
        <v>0</v>
      </c>
    </row>
    <row r="14" spans="1:18" x14ac:dyDescent="0.35">
      <c r="A14" s="41">
        <v>10673993</v>
      </c>
      <c r="B14" s="42" t="s">
        <v>156</v>
      </c>
      <c r="C14" s="11">
        <v>65.8</v>
      </c>
      <c r="D14" s="11" t="s">
        <v>69</v>
      </c>
      <c r="E14" s="3"/>
      <c r="F14" s="18">
        <v>10673993</v>
      </c>
      <c r="G14" s="9" t="s">
        <v>315</v>
      </c>
      <c r="H14" s="10">
        <v>65.8</v>
      </c>
      <c r="I14" s="10" t="s">
        <v>69</v>
      </c>
      <c r="J14" s="76">
        <v>65.8</v>
      </c>
      <c r="K14" s="2" t="s">
        <v>398</v>
      </c>
      <c r="L14" s="53">
        <v>65.8</v>
      </c>
      <c r="M14" s="80">
        <v>10673993</v>
      </c>
      <c r="N14" s="42" t="s">
        <v>446</v>
      </c>
      <c r="O14" s="82">
        <v>65.8</v>
      </c>
      <c r="P14" s="82" t="s">
        <v>69</v>
      </c>
      <c r="Q14" s="82">
        <v>65.8</v>
      </c>
      <c r="R14" s="84">
        <f t="shared" si="0"/>
        <v>0</v>
      </c>
    </row>
    <row r="15" spans="1:18" x14ac:dyDescent="0.35">
      <c r="A15" s="41">
        <v>10674015</v>
      </c>
      <c r="B15" s="42" t="s">
        <v>160</v>
      </c>
      <c r="C15" s="11">
        <v>65.2</v>
      </c>
      <c r="D15" s="11" t="s">
        <v>69</v>
      </c>
      <c r="E15" s="3"/>
      <c r="F15" s="18">
        <v>10674015</v>
      </c>
      <c r="G15" s="9" t="s">
        <v>319</v>
      </c>
      <c r="H15" s="10">
        <v>65.2</v>
      </c>
      <c r="I15" s="10" t="s">
        <v>69</v>
      </c>
      <c r="J15" s="76">
        <v>65.2</v>
      </c>
      <c r="K15" s="2" t="s">
        <v>398</v>
      </c>
      <c r="L15" s="53">
        <v>65.2</v>
      </c>
      <c r="M15" s="80">
        <v>10674015</v>
      </c>
      <c r="N15" s="42" t="s">
        <v>450</v>
      </c>
      <c r="O15" s="82">
        <v>65.2</v>
      </c>
      <c r="P15" s="82" t="s">
        <v>69</v>
      </c>
      <c r="Q15" s="82">
        <v>65.2</v>
      </c>
      <c r="R15" s="84">
        <f t="shared" si="0"/>
        <v>0</v>
      </c>
    </row>
    <row r="16" spans="1:18" x14ac:dyDescent="0.35">
      <c r="A16" s="41">
        <v>10674060</v>
      </c>
      <c r="B16" s="42" t="s">
        <v>212</v>
      </c>
      <c r="C16" s="11">
        <v>62.7</v>
      </c>
      <c r="D16" s="11" t="s">
        <v>69</v>
      </c>
      <c r="E16" s="3"/>
      <c r="F16" s="18">
        <v>10674060</v>
      </c>
      <c r="G16" s="9" t="s">
        <v>357</v>
      </c>
      <c r="H16" s="10">
        <v>62.7</v>
      </c>
      <c r="I16" s="10" t="s">
        <v>69</v>
      </c>
      <c r="J16" s="76">
        <v>62.7</v>
      </c>
      <c r="K16" s="2" t="s">
        <v>398</v>
      </c>
      <c r="L16" s="53">
        <v>62.7</v>
      </c>
      <c r="M16" s="80">
        <v>10674060</v>
      </c>
      <c r="N16" s="42" t="s">
        <v>504</v>
      </c>
      <c r="O16" s="82">
        <v>62.7</v>
      </c>
      <c r="P16" s="82" t="s">
        <v>69</v>
      </c>
      <c r="Q16" s="82">
        <v>62.7</v>
      </c>
      <c r="R16" s="84">
        <f t="shared" si="0"/>
        <v>0</v>
      </c>
    </row>
    <row r="17" spans="1:18" x14ac:dyDescent="0.35">
      <c r="A17" s="41">
        <v>10674222</v>
      </c>
      <c r="B17" s="42" t="s">
        <v>164</v>
      </c>
      <c r="C17" s="11">
        <v>60.3</v>
      </c>
      <c r="D17" s="11" t="s">
        <v>69</v>
      </c>
      <c r="E17" s="3"/>
      <c r="F17" s="18">
        <v>10674222</v>
      </c>
      <c r="G17" s="9" t="s">
        <v>323</v>
      </c>
      <c r="H17" s="10">
        <v>60.3</v>
      </c>
      <c r="I17" s="10" t="s">
        <v>69</v>
      </c>
      <c r="J17" s="76">
        <v>60.3</v>
      </c>
      <c r="K17" s="2" t="s">
        <v>398</v>
      </c>
      <c r="L17" s="53">
        <v>60.3</v>
      </c>
      <c r="M17" s="80">
        <v>10674222</v>
      </c>
      <c r="N17" s="42" t="s">
        <v>462</v>
      </c>
      <c r="O17" s="82">
        <v>60.3</v>
      </c>
      <c r="P17" s="82" t="s">
        <v>69</v>
      </c>
      <c r="Q17" s="82">
        <v>60.3</v>
      </c>
      <c r="R17" s="84">
        <f t="shared" si="0"/>
        <v>0</v>
      </c>
    </row>
    <row r="18" spans="1:18" x14ac:dyDescent="0.35">
      <c r="A18" s="41">
        <v>10674048</v>
      </c>
      <c r="B18" s="42" t="s">
        <v>213</v>
      </c>
      <c r="C18" s="11">
        <v>63.3</v>
      </c>
      <c r="D18" s="11" t="s">
        <v>69</v>
      </c>
      <c r="E18" s="3"/>
      <c r="F18" s="18">
        <v>10674048</v>
      </c>
      <c r="G18" s="9" t="s">
        <v>359</v>
      </c>
      <c r="H18" s="10">
        <v>63.3</v>
      </c>
      <c r="I18" s="10" t="s">
        <v>69</v>
      </c>
      <c r="J18" s="76">
        <v>63.3</v>
      </c>
      <c r="K18" s="2" t="s">
        <v>398</v>
      </c>
      <c r="L18" s="53">
        <v>63.3</v>
      </c>
      <c r="M18" s="80">
        <v>10674048</v>
      </c>
      <c r="N18" s="42" t="s">
        <v>499</v>
      </c>
      <c r="O18" s="82">
        <v>63.3</v>
      </c>
      <c r="P18" s="82" t="s">
        <v>69</v>
      </c>
      <c r="Q18" s="82">
        <v>63.3</v>
      </c>
      <c r="R18" s="84">
        <f t="shared" si="0"/>
        <v>0</v>
      </c>
    </row>
    <row r="19" spans="1:18" x14ac:dyDescent="0.35">
      <c r="A19" s="41">
        <v>10674037</v>
      </c>
      <c r="B19" s="42" t="s">
        <v>214</v>
      </c>
      <c r="C19" s="11">
        <v>52.5</v>
      </c>
      <c r="D19" s="11" t="s">
        <v>69</v>
      </c>
      <c r="E19" s="3"/>
      <c r="F19" s="18">
        <v>10674037</v>
      </c>
      <c r="G19" s="9" t="s">
        <v>360</v>
      </c>
      <c r="H19" s="10">
        <v>52.5</v>
      </c>
      <c r="I19" s="10" t="s">
        <v>69</v>
      </c>
      <c r="J19" s="76">
        <v>52.5</v>
      </c>
      <c r="K19" s="2" t="s">
        <v>398</v>
      </c>
      <c r="L19" s="53">
        <v>52.5</v>
      </c>
      <c r="M19" s="80">
        <v>10674037</v>
      </c>
      <c r="N19" s="42" t="s">
        <v>500</v>
      </c>
      <c r="O19" s="82">
        <v>52.5</v>
      </c>
      <c r="P19" s="82" t="s">
        <v>69</v>
      </c>
      <c r="Q19" s="82">
        <v>52.5</v>
      </c>
      <c r="R19" s="84">
        <f t="shared" si="0"/>
        <v>0</v>
      </c>
    </row>
    <row r="20" spans="1:18" x14ac:dyDescent="0.35">
      <c r="A20" s="41">
        <v>9856323</v>
      </c>
      <c r="B20" s="42" t="s">
        <v>193</v>
      </c>
      <c r="C20" s="11">
        <v>62.8</v>
      </c>
      <c r="D20" s="11" t="s">
        <v>69</v>
      </c>
      <c r="E20" s="3"/>
      <c r="F20" s="18">
        <v>9856323</v>
      </c>
      <c r="G20" s="9" t="s">
        <v>390</v>
      </c>
      <c r="H20" s="10">
        <v>62.8</v>
      </c>
      <c r="I20" s="10" t="s">
        <v>69</v>
      </c>
      <c r="J20" s="76">
        <v>62.8</v>
      </c>
      <c r="K20" s="2" t="s">
        <v>398</v>
      </c>
      <c r="L20" s="53">
        <v>62.8</v>
      </c>
      <c r="M20" s="80">
        <v>9856323</v>
      </c>
      <c r="N20" s="42" t="s">
        <v>481</v>
      </c>
      <c r="O20" s="82">
        <v>62.8</v>
      </c>
      <c r="P20" s="82" t="s">
        <v>69</v>
      </c>
      <c r="Q20" s="82">
        <v>62.8</v>
      </c>
      <c r="R20" s="84">
        <f t="shared" si="0"/>
        <v>0</v>
      </c>
    </row>
    <row r="21" spans="1:18" x14ac:dyDescent="0.35">
      <c r="A21" s="41">
        <v>9856286</v>
      </c>
      <c r="B21" s="42" t="s">
        <v>194</v>
      </c>
      <c r="C21" s="11">
        <v>72.900000000000006</v>
      </c>
      <c r="D21" s="11" t="s">
        <v>69</v>
      </c>
      <c r="E21" s="3"/>
      <c r="F21" s="18">
        <v>9856286</v>
      </c>
      <c r="G21" s="9" t="s">
        <v>391</v>
      </c>
      <c r="H21" s="10">
        <v>72.900000000000006</v>
      </c>
      <c r="I21" s="10" t="s">
        <v>69</v>
      </c>
      <c r="J21" s="76">
        <v>72.900000000000006</v>
      </c>
      <c r="K21" s="2" t="s">
        <v>398</v>
      </c>
      <c r="L21" s="53">
        <v>72.900000000000006</v>
      </c>
      <c r="M21" s="80">
        <v>9856286</v>
      </c>
      <c r="N21" s="42" t="s">
        <v>486</v>
      </c>
      <c r="O21" s="82">
        <v>72.900000000000006</v>
      </c>
      <c r="P21" s="82" t="s">
        <v>69</v>
      </c>
      <c r="Q21" s="82">
        <v>72.900000000000006</v>
      </c>
      <c r="R21" s="84">
        <f t="shared" si="0"/>
        <v>0</v>
      </c>
    </row>
    <row r="22" spans="1:18" x14ac:dyDescent="0.35">
      <c r="A22" s="41">
        <v>10674439</v>
      </c>
      <c r="B22" s="42" t="s">
        <v>167</v>
      </c>
      <c r="C22" s="11">
        <v>55.7</v>
      </c>
      <c r="D22" s="11" t="s">
        <v>69</v>
      </c>
      <c r="E22" s="3"/>
      <c r="F22" s="18">
        <v>10674439</v>
      </c>
      <c r="G22" s="9" t="s">
        <v>326</v>
      </c>
      <c r="H22" s="10">
        <v>55.7</v>
      </c>
      <c r="I22" s="10" t="s">
        <v>69</v>
      </c>
      <c r="J22" s="76">
        <v>55.7</v>
      </c>
      <c r="K22" s="2" t="s">
        <v>398</v>
      </c>
      <c r="L22" s="53">
        <v>55.7</v>
      </c>
      <c r="M22" s="80">
        <v>10674439</v>
      </c>
      <c r="N22" s="42" t="s">
        <v>472</v>
      </c>
      <c r="O22" s="82">
        <v>55.7</v>
      </c>
      <c r="P22" s="82" t="s">
        <v>69</v>
      </c>
      <c r="Q22" s="82">
        <v>55.7</v>
      </c>
      <c r="R22" s="84">
        <f t="shared" si="0"/>
        <v>0</v>
      </c>
    </row>
    <row r="23" spans="1:18" x14ac:dyDescent="0.35">
      <c r="A23" s="41">
        <v>10447925</v>
      </c>
      <c r="B23" s="42" t="s">
        <v>168</v>
      </c>
      <c r="C23" s="11">
        <v>64</v>
      </c>
      <c r="D23" s="11" t="s">
        <v>69</v>
      </c>
      <c r="E23" s="3"/>
      <c r="F23" s="18">
        <v>10447925</v>
      </c>
      <c r="G23" s="9" t="s">
        <v>327</v>
      </c>
      <c r="H23" s="10">
        <v>64</v>
      </c>
      <c r="I23" s="10" t="s">
        <v>69</v>
      </c>
      <c r="J23" s="76">
        <v>64</v>
      </c>
      <c r="K23" s="2" t="s">
        <v>398</v>
      </c>
      <c r="L23" s="53">
        <v>64</v>
      </c>
      <c r="M23" s="80">
        <v>10447925</v>
      </c>
      <c r="N23" s="42" t="s">
        <v>444</v>
      </c>
      <c r="O23" s="82">
        <v>64</v>
      </c>
      <c r="P23" s="82" t="s">
        <v>69</v>
      </c>
      <c r="Q23" s="82">
        <v>64</v>
      </c>
      <c r="R23" s="84">
        <f t="shared" si="0"/>
        <v>0</v>
      </c>
    </row>
    <row r="24" spans="1:18" x14ac:dyDescent="0.35">
      <c r="A24" s="41">
        <v>10674093</v>
      </c>
      <c r="B24" s="42" t="s">
        <v>219</v>
      </c>
      <c r="C24" s="11">
        <v>70.8</v>
      </c>
      <c r="D24" s="11" t="s">
        <v>69</v>
      </c>
      <c r="E24" s="3"/>
      <c r="F24" s="18">
        <v>10674093</v>
      </c>
      <c r="G24" s="9" t="s">
        <v>365</v>
      </c>
      <c r="H24" s="10">
        <v>70.8</v>
      </c>
      <c r="I24" s="10" t="s">
        <v>69</v>
      </c>
      <c r="J24" s="76">
        <v>70.8</v>
      </c>
      <c r="K24" s="2" t="s">
        <v>398</v>
      </c>
      <c r="L24" s="53">
        <v>70.8</v>
      </c>
      <c r="M24" s="80">
        <v>10674093</v>
      </c>
      <c r="N24" s="42" t="s">
        <v>505</v>
      </c>
      <c r="O24" s="82">
        <v>70.8</v>
      </c>
      <c r="P24" s="82" t="s">
        <v>69</v>
      </c>
      <c r="Q24" s="82">
        <v>70.8</v>
      </c>
      <c r="R24" s="84">
        <f t="shared" si="0"/>
        <v>0</v>
      </c>
    </row>
    <row r="25" spans="1:18" x14ac:dyDescent="0.35">
      <c r="A25" s="41">
        <v>9856264</v>
      </c>
      <c r="B25" s="42" t="s">
        <v>195</v>
      </c>
      <c r="C25" s="11">
        <v>60</v>
      </c>
      <c r="D25" s="11" t="s">
        <v>69</v>
      </c>
      <c r="E25" s="3"/>
      <c r="F25" s="18">
        <v>9856264</v>
      </c>
      <c r="G25" s="9" t="s">
        <v>349</v>
      </c>
      <c r="H25" s="10">
        <v>60</v>
      </c>
      <c r="I25" s="10" t="s">
        <v>69</v>
      </c>
      <c r="J25" s="76">
        <v>60</v>
      </c>
      <c r="K25" s="2" t="s">
        <v>398</v>
      </c>
      <c r="L25" s="53">
        <v>60</v>
      </c>
      <c r="M25" s="80">
        <v>9856264</v>
      </c>
      <c r="N25" s="42" t="s">
        <v>482</v>
      </c>
      <c r="O25" s="82">
        <v>60</v>
      </c>
      <c r="P25" s="82" t="s">
        <v>69</v>
      </c>
      <c r="Q25" s="82">
        <v>60</v>
      </c>
      <c r="R25" s="84">
        <f t="shared" si="0"/>
        <v>0</v>
      </c>
    </row>
    <row r="26" spans="1:18" x14ac:dyDescent="0.35">
      <c r="A26" s="41">
        <v>10448298</v>
      </c>
      <c r="B26" s="42" t="s">
        <v>222</v>
      </c>
      <c r="C26" s="11">
        <v>53.3</v>
      </c>
      <c r="D26" s="11" t="s">
        <v>69</v>
      </c>
      <c r="E26" s="3"/>
      <c r="F26" s="18">
        <v>10448298</v>
      </c>
      <c r="G26" s="9" t="s">
        <v>368</v>
      </c>
      <c r="H26" s="10">
        <v>53.3</v>
      </c>
      <c r="I26" s="10" t="s">
        <v>69</v>
      </c>
      <c r="J26" s="76">
        <v>53.3</v>
      </c>
      <c r="K26" s="2" t="s">
        <v>398</v>
      </c>
      <c r="L26" s="53">
        <v>53.3</v>
      </c>
      <c r="M26" s="80">
        <v>10448298</v>
      </c>
      <c r="N26" s="42" t="s">
        <v>508</v>
      </c>
      <c r="O26" s="82">
        <v>53.3</v>
      </c>
      <c r="P26" s="82" t="s">
        <v>69</v>
      </c>
      <c r="Q26" s="82">
        <v>53.3</v>
      </c>
      <c r="R26" s="84">
        <f t="shared" si="0"/>
        <v>0</v>
      </c>
    </row>
    <row r="27" spans="1:18" x14ac:dyDescent="0.35">
      <c r="A27" s="41">
        <v>10674118</v>
      </c>
      <c r="B27" s="42" t="s">
        <v>223</v>
      </c>
      <c r="C27" s="11">
        <v>60.9</v>
      </c>
      <c r="D27" s="11" t="s">
        <v>69</v>
      </c>
      <c r="E27" s="3"/>
      <c r="F27" s="18">
        <v>10674118</v>
      </c>
      <c r="G27" s="9" t="s">
        <v>369</v>
      </c>
      <c r="H27" s="10">
        <v>60.9</v>
      </c>
      <c r="I27" s="10" t="s">
        <v>69</v>
      </c>
      <c r="J27" s="76">
        <v>60.9</v>
      </c>
      <c r="K27" s="2" t="s">
        <v>398</v>
      </c>
      <c r="L27" s="53">
        <v>60.9</v>
      </c>
      <c r="M27" s="80">
        <v>10674118</v>
      </c>
      <c r="N27" s="42" t="s">
        <v>509</v>
      </c>
      <c r="O27" s="82">
        <v>60.9</v>
      </c>
      <c r="P27" s="82" t="s">
        <v>69</v>
      </c>
      <c r="Q27" s="82">
        <v>60.9</v>
      </c>
      <c r="R27" s="84">
        <f t="shared" si="0"/>
        <v>0</v>
      </c>
    </row>
    <row r="28" spans="1:18" x14ac:dyDescent="0.35">
      <c r="A28" s="41">
        <v>10674141</v>
      </c>
      <c r="B28" s="42" t="s">
        <v>224</v>
      </c>
      <c r="C28" s="11">
        <v>61.5</v>
      </c>
      <c r="D28" s="11" t="s">
        <v>69</v>
      </c>
      <c r="E28" s="3"/>
      <c r="F28" s="18">
        <v>10674141</v>
      </c>
      <c r="G28" s="9" t="s">
        <v>370</v>
      </c>
      <c r="H28" s="10">
        <v>61.5</v>
      </c>
      <c r="I28" s="10" t="s">
        <v>69</v>
      </c>
      <c r="J28" s="76">
        <v>60.9</v>
      </c>
      <c r="K28" s="2" t="s">
        <v>398</v>
      </c>
      <c r="L28" s="53">
        <v>60.9</v>
      </c>
      <c r="M28" s="80">
        <v>10674141</v>
      </c>
      <c r="N28" s="42" t="s">
        <v>510</v>
      </c>
      <c r="O28" s="82">
        <v>61.5</v>
      </c>
      <c r="P28" s="82" t="s">
        <v>69</v>
      </c>
      <c r="Q28" s="82">
        <v>61.5</v>
      </c>
      <c r="R28" s="85">
        <f t="shared" si="0"/>
        <v>0.6</v>
      </c>
    </row>
    <row r="29" spans="1:18" x14ac:dyDescent="0.35">
      <c r="A29" s="41">
        <v>10448047</v>
      </c>
      <c r="B29" s="42" t="s">
        <v>226</v>
      </c>
      <c r="C29" s="11">
        <v>56.1</v>
      </c>
      <c r="D29" s="11" t="s">
        <v>69</v>
      </c>
      <c r="E29" s="3"/>
      <c r="F29" s="18">
        <v>10448047</v>
      </c>
      <c r="G29" s="9" t="s">
        <v>372</v>
      </c>
      <c r="H29" s="10">
        <v>56.1</v>
      </c>
      <c r="I29" s="10" t="s">
        <v>69</v>
      </c>
      <c r="J29" s="76">
        <v>56.1</v>
      </c>
      <c r="K29" s="2" t="s">
        <v>398</v>
      </c>
      <c r="L29" s="53">
        <v>56.1</v>
      </c>
      <c r="M29" s="80">
        <v>10448047</v>
      </c>
      <c r="N29" s="42" t="s">
        <v>512</v>
      </c>
      <c r="O29" s="82">
        <v>56.1</v>
      </c>
      <c r="P29" s="82" t="s">
        <v>69</v>
      </c>
      <c r="Q29" s="82">
        <v>56.1</v>
      </c>
      <c r="R29" s="84">
        <f t="shared" si="0"/>
        <v>0</v>
      </c>
    </row>
    <row r="30" spans="1:18" x14ac:dyDescent="0.35">
      <c r="A30" s="41">
        <v>9057492</v>
      </c>
      <c r="B30" s="42" t="s">
        <v>197</v>
      </c>
      <c r="C30" s="11">
        <v>60</v>
      </c>
      <c r="D30" s="11" t="s">
        <v>69</v>
      </c>
      <c r="E30" s="3"/>
      <c r="F30" s="18">
        <v>9057492</v>
      </c>
      <c r="G30" s="9" t="s">
        <v>392</v>
      </c>
      <c r="H30" s="10">
        <v>60</v>
      </c>
      <c r="I30" s="10" t="s">
        <v>69</v>
      </c>
      <c r="J30" s="76">
        <v>60</v>
      </c>
      <c r="K30" s="2" t="s">
        <v>398</v>
      </c>
      <c r="L30" s="53">
        <v>60</v>
      </c>
      <c r="M30" s="80">
        <v>9057492</v>
      </c>
      <c r="N30" s="42" t="s">
        <v>487</v>
      </c>
      <c r="O30" s="82">
        <v>60</v>
      </c>
      <c r="P30" s="82" t="s">
        <v>69</v>
      </c>
      <c r="Q30" s="82">
        <v>60</v>
      </c>
      <c r="R30" s="84">
        <f t="shared" si="0"/>
        <v>0</v>
      </c>
    </row>
    <row r="31" spans="1:18" x14ac:dyDescent="0.35">
      <c r="A31" s="41">
        <v>10448003</v>
      </c>
      <c r="B31" s="42" t="s">
        <v>227</v>
      </c>
      <c r="C31" s="11">
        <v>56.7</v>
      </c>
      <c r="D31" s="11" t="s">
        <v>69</v>
      </c>
      <c r="E31" s="3"/>
      <c r="F31" s="18">
        <v>10448003</v>
      </c>
      <c r="G31" s="9" t="s">
        <v>374</v>
      </c>
      <c r="H31" s="10">
        <v>56.7</v>
      </c>
      <c r="I31" s="10" t="s">
        <v>69</v>
      </c>
      <c r="J31" s="76">
        <v>56.7</v>
      </c>
      <c r="K31" s="2" t="s">
        <v>398</v>
      </c>
      <c r="L31" s="53">
        <v>56.7</v>
      </c>
      <c r="M31" s="80">
        <v>10448003</v>
      </c>
      <c r="N31" s="42" t="s">
        <v>513</v>
      </c>
      <c r="O31" s="82">
        <v>56.7</v>
      </c>
      <c r="P31" s="82" t="s">
        <v>69</v>
      </c>
      <c r="Q31" s="82">
        <v>56.7</v>
      </c>
      <c r="R31" s="84">
        <f t="shared" si="0"/>
        <v>0</v>
      </c>
    </row>
    <row r="32" spans="1:18" x14ac:dyDescent="0.35">
      <c r="A32" s="41">
        <v>10674211</v>
      </c>
      <c r="B32" s="42" t="s">
        <v>228</v>
      </c>
      <c r="C32" s="11">
        <v>62.6</v>
      </c>
      <c r="D32" s="11" t="s">
        <v>69</v>
      </c>
      <c r="E32" s="3"/>
      <c r="F32" s="18">
        <v>10674211</v>
      </c>
      <c r="G32" s="9" t="s">
        <v>375</v>
      </c>
      <c r="H32" s="10">
        <v>62.6</v>
      </c>
      <c r="I32" s="10" t="s">
        <v>69</v>
      </c>
      <c r="J32" s="76">
        <v>62.6</v>
      </c>
      <c r="K32" s="2" t="s">
        <v>398</v>
      </c>
      <c r="L32" s="53">
        <v>62.6</v>
      </c>
      <c r="M32" s="80">
        <v>10674211</v>
      </c>
      <c r="N32" s="42" t="s">
        <v>514</v>
      </c>
      <c r="O32" s="82">
        <v>62.6</v>
      </c>
      <c r="P32" s="82" t="s">
        <v>69</v>
      </c>
      <c r="Q32" s="82">
        <v>62.6</v>
      </c>
      <c r="R32" s="84">
        <f t="shared" si="0"/>
        <v>0</v>
      </c>
    </row>
    <row r="33" spans="1:18" x14ac:dyDescent="0.35">
      <c r="A33" s="41">
        <v>9856242</v>
      </c>
      <c r="B33" s="42" t="s">
        <v>198</v>
      </c>
      <c r="C33" s="11">
        <v>67.8</v>
      </c>
      <c r="D33" s="11" t="s">
        <v>69</v>
      </c>
      <c r="E33" s="3"/>
      <c r="F33" s="18">
        <v>9856242</v>
      </c>
      <c r="G33" s="9" t="s">
        <v>393</v>
      </c>
      <c r="H33" s="10">
        <v>67.8</v>
      </c>
      <c r="I33" s="10" t="s">
        <v>69</v>
      </c>
      <c r="J33" s="76">
        <v>67.8</v>
      </c>
      <c r="K33" s="2" t="s">
        <v>398</v>
      </c>
      <c r="L33" s="53">
        <v>67.8</v>
      </c>
      <c r="M33" s="80">
        <v>9856242</v>
      </c>
      <c r="N33" s="42" t="s">
        <v>483</v>
      </c>
      <c r="O33" s="82">
        <v>67.8</v>
      </c>
      <c r="P33" s="82" t="s">
        <v>69</v>
      </c>
      <c r="Q33" s="82">
        <v>67.8</v>
      </c>
      <c r="R33" s="84">
        <f t="shared" si="0"/>
        <v>0</v>
      </c>
    </row>
    <row r="34" spans="1:18" x14ac:dyDescent="0.35">
      <c r="A34" s="41">
        <v>10447970</v>
      </c>
      <c r="B34" s="42" t="s">
        <v>176</v>
      </c>
      <c r="C34" s="11">
        <v>56.2</v>
      </c>
      <c r="D34" s="11" t="s">
        <v>69</v>
      </c>
      <c r="E34" s="3"/>
      <c r="F34" s="18">
        <v>10447970</v>
      </c>
      <c r="G34" s="9" t="s">
        <v>335</v>
      </c>
      <c r="H34" s="10">
        <v>56.2</v>
      </c>
      <c r="I34" s="10" t="s">
        <v>69</v>
      </c>
      <c r="J34" s="76">
        <v>56.2</v>
      </c>
      <c r="K34" s="2" t="s">
        <v>398</v>
      </c>
      <c r="L34" s="53">
        <v>56.2</v>
      </c>
      <c r="M34" s="80">
        <v>10447970</v>
      </c>
      <c r="N34" s="42" t="s">
        <v>464</v>
      </c>
      <c r="O34" s="82">
        <v>56.2</v>
      </c>
      <c r="P34" s="82" t="s">
        <v>69</v>
      </c>
      <c r="Q34" s="82">
        <v>56.2</v>
      </c>
      <c r="R34" s="84">
        <f t="shared" si="0"/>
        <v>0</v>
      </c>
    </row>
    <row r="35" spans="1:18" x14ac:dyDescent="0.35">
      <c r="A35" s="41">
        <v>10674233</v>
      </c>
      <c r="B35" s="42" t="s">
        <v>177</v>
      </c>
      <c r="C35" s="11">
        <v>65.2</v>
      </c>
      <c r="D35" s="11" t="s">
        <v>69</v>
      </c>
      <c r="E35" s="3"/>
      <c r="F35" s="18">
        <v>10674233</v>
      </c>
      <c r="G35" s="9" t="s">
        <v>336</v>
      </c>
      <c r="H35" s="10">
        <v>65.2</v>
      </c>
      <c r="I35" s="10" t="s">
        <v>69</v>
      </c>
      <c r="J35" s="76">
        <v>65.2</v>
      </c>
      <c r="K35" s="2" t="s">
        <v>398</v>
      </c>
      <c r="L35" s="53">
        <v>65.2</v>
      </c>
      <c r="M35" s="80">
        <v>10674233</v>
      </c>
      <c r="N35" s="42" t="s">
        <v>466</v>
      </c>
      <c r="O35" s="82">
        <v>65.2</v>
      </c>
      <c r="P35" s="82" t="s">
        <v>69</v>
      </c>
      <c r="Q35" s="82">
        <v>65.2</v>
      </c>
      <c r="R35" s="84">
        <f t="shared" si="0"/>
        <v>0</v>
      </c>
    </row>
    <row r="36" spans="1:18" x14ac:dyDescent="0.35">
      <c r="A36" s="41">
        <v>10674417</v>
      </c>
      <c r="B36" s="42" t="s">
        <v>229</v>
      </c>
      <c r="C36" s="11">
        <v>64.2</v>
      </c>
      <c r="D36" s="11" t="s">
        <v>69</v>
      </c>
      <c r="E36" s="3"/>
      <c r="F36" s="18">
        <v>10674417</v>
      </c>
      <c r="G36" s="9" t="s">
        <v>377</v>
      </c>
      <c r="H36" s="10">
        <v>64.2</v>
      </c>
      <c r="I36" s="10" t="s">
        <v>69</v>
      </c>
      <c r="J36" s="76">
        <v>64.2</v>
      </c>
      <c r="K36" s="2" t="s">
        <v>398</v>
      </c>
      <c r="L36" s="53">
        <v>64.2</v>
      </c>
      <c r="M36" s="80">
        <v>10674417</v>
      </c>
      <c r="N36" s="42" t="s">
        <v>517</v>
      </c>
      <c r="O36" s="82">
        <v>64.2</v>
      </c>
      <c r="P36" s="82" t="s">
        <v>69</v>
      </c>
      <c r="Q36" s="82">
        <v>64.2</v>
      </c>
      <c r="R36" s="84">
        <f t="shared" si="0"/>
        <v>0</v>
      </c>
    </row>
    <row r="37" spans="1:18" x14ac:dyDescent="0.35">
      <c r="A37" s="41">
        <v>10674392</v>
      </c>
      <c r="B37" s="42" t="s">
        <v>230</v>
      </c>
      <c r="C37" s="11">
        <v>72.3</v>
      </c>
      <c r="D37" s="11" t="s">
        <v>69</v>
      </c>
      <c r="E37" s="3"/>
      <c r="F37" s="18">
        <v>10674392</v>
      </c>
      <c r="G37" s="9" t="s">
        <v>378</v>
      </c>
      <c r="H37" s="10">
        <v>72.3</v>
      </c>
      <c r="I37" s="10" t="s">
        <v>69</v>
      </c>
      <c r="J37" s="76">
        <v>72.3</v>
      </c>
      <c r="K37" s="2" t="s">
        <v>398</v>
      </c>
      <c r="L37" s="53">
        <v>72.3</v>
      </c>
      <c r="M37" s="80">
        <v>10674392</v>
      </c>
      <c r="N37" s="42" t="s">
        <v>518</v>
      </c>
      <c r="O37" s="82">
        <v>72.3</v>
      </c>
      <c r="P37" s="82" t="s">
        <v>69</v>
      </c>
      <c r="Q37" s="82">
        <v>72.3</v>
      </c>
      <c r="R37" s="84">
        <f t="shared" si="0"/>
        <v>0</v>
      </c>
    </row>
    <row r="38" spans="1:18" x14ac:dyDescent="0.35">
      <c r="A38" s="41">
        <v>9856301</v>
      </c>
      <c r="B38" s="42" t="s">
        <v>200</v>
      </c>
      <c r="C38" s="11">
        <v>62.4</v>
      </c>
      <c r="D38" s="11" t="s">
        <v>69</v>
      </c>
      <c r="E38" s="3"/>
      <c r="F38" s="18">
        <v>9856301</v>
      </c>
      <c r="G38" s="9" t="s">
        <v>394</v>
      </c>
      <c r="H38" s="10">
        <v>62.4</v>
      </c>
      <c r="I38" s="10" t="s">
        <v>69</v>
      </c>
      <c r="J38" s="76">
        <v>62.4</v>
      </c>
      <c r="K38" s="2" t="s">
        <v>398</v>
      </c>
      <c r="L38" s="53">
        <v>62.4</v>
      </c>
      <c r="M38" s="80">
        <v>9856301</v>
      </c>
      <c r="N38" s="42" t="s">
        <v>488</v>
      </c>
      <c r="O38" s="82">
        <v>62.4</v>
      </c>
      <c r="P38" s="82" t="s">
        <v>69</v>
      </c>
      <c r="Q38" s="82">
        <v>62.4</v>
      </c>
      <c r="R38" s="84">
        <f t="shared" si="0"/>
        <v>0</v>
      </c>
    </row>
    <row r="39" spans="1:18" x14ac:dyDescent="0.35">
      <c r="A39" s="41">
        <v>9658417</v>
      </c>
      <c r="B39" s="42" t="s">
        <v>180</v>
      </c>
      <c r="C39" s="11">
        <v>64.400000000000006</v>
      </c>
      <c r="D39" s="11" t="s">
        <v>69</v>
      </c>
      <c r="E39" s="3"/>
      <c r="F39" s="18">
        <v>9658417</v>
      </c>
      <c r="G39" s="9" t="s">
        <v>339</v>
      </c>
      <c r="H39" s="10">
        <v>64.400000000000006</v>
      </c>
      <c r="I39" s="10" t="s">
        <v>69</v>
      </c>
      <c r="J39" s="76">
        <v>64.400000000000006</v>
      </c>
      <c r="K39" s="2" t="s">
        <v>398</v>
      </c>
      <c r="L39" s="53">
        <v>64.400000000000006</v>
      </c>
      <c r="M39" s="80">
        <v>9658417</v>
      </c>
      <c r="N39" s="42" t="s">
        <v>469</v>
      </c>
      <c r="O39" s="82">
        <v>64.400000000000006</v>
      </c>
      <c r="P39" s="82" t="s">
        <v>69</v>
      </c>
      <c r="Q39" s="82">
        <v>64.400000000000006</v>
      </c>
      <c r="R39" s="84">
        <f t="shared" si="0"/>
        <v>0</v>
      </c>
    </row>
    <row r="40" spans="1:18" x14ac:dyDescent="0.35">
      <c r="A40" s="41">
        <v>10447903</v>
      </c>
      <c r="B40" s="42" t="s">
        <v>182</v>
      </c>
      <c r="C40" s="11">
        <v>65.400000000000006</v>
      </c>
      <c r="D40" s="11" t="s">
        <v>69</v>
      </c>
      <c r="E40" s="3"/>
      <c r="F40" s="18">
        <v>10447903</v>
      </c>
      <c r="G40" s="9" t="s">
        <v>341</v>
      </c>
      <c r="H40" s="10">
        <v>65.400000000000006</v>
      </c>
      <c r="I40" s="10" t="s">
        <v>69</v>
      </c>
      <c r="J40" s="76">
        <v>65.400000000000006</v>
      </c>
      <c r="K40" s="2" t="s">
        <v>398</v>
      </c>
      <c r="L40" s="53">
        <v>65.400000000000006</v>
      </c>
      <c r="M40" s="80">
        <v>10447903</v>
      </c>
      <c r="N40" s="42" t="s">
        <v>471</v>
      </c>
      <c r="O40" s="82">
        <v>65.400000000000006</v>
      </c>
      <c r="P40" s="82" t="s">
        <v>69</v>
      </c>
      <c r="Q40" s="82">
        <v>65.400000000000006</v>
      </c>
      <c r="R40" s="84">
        <f t="shared" si="0"/>
        <v>0</v>
      </c>
    </row>
    <row r="41" spans="1:18" x14ac:dyDescent="0.35">
      <c r="A41" s="41">
        <v>9856389</v>
      </c>
      <c r="B41" s="42" t="s">
        <v>203</v>
      </c>
      <c r="C41" s="11">
        <v>71.400000000000006</v>
      </c>
      <c r="D41" s="11" t="s">
        <v>69</v>
      </c>
      <c r="E41" s="3"/>
      <c r="F41" s="18">
        <v>9856389</v>
      </c>
      <c r="G41" s="9" t="s">
        <v>395</v>
      </c>
      <c r="H41" s="10">
        <v>71.400000000000006</v>
      </c>
      <c r="I41" s="10" t="s">
        <v>69</v>
      </c>
      <c r="J41" s="76">
        <v>71.400000000000006</v>
      </c>
      <c r="K41" s="2" t="s">
        <v>398</v>
      </c>
      <c r="L41" s="53">
        <v>71.400000000000006</v>
      </c>
      <c r="M41" s="80">
        <v>9856389</v>
      </c>
      <c r="N41" s="42" t="s">
        <v>489</v>
      </c>
      <c r="O41" s="82">
        <v>71.400000000000006</v>
      </c>
      <c r="P41" s="82" t="s">
        <v>69</v>
      </c>
      <c r="Q41" s="82">
        <v>71.400000000000006</v>
      </c>
      <c r="R41" s="84">
        <f t="shared" si="0"/>
        <v>0</v>
      </c>
    </row>
    <row r="42" spans="1:18" x14ac:dyDescent="0.35">
      <c r="A42" s="41">
        <v>10674440</v>
      </c>
      <c r="B42" s="42" t="s">
        <v>231</v>
      </c>
      <c r="C42" s="11">
        <v>60.8</v>
      </c>
      <c r="D42" s="11" t="s">
        <v>69</v>
      </c>
      <c r="E42" s="3"/>
      <c r="F42" s="18">
        <v>10674440</v>
      </c>
      <c r="G42" s="9" t="s">
        <v>381</v>
      </c>
      <c r="H42" s="10">
        <v>60.8</v>
      </c>
      <c r="I42" s="10" t="s">
        <v>69</v>
      </c>
      <c r="J42" s="76">
        <v>60.8</v>
      </c>
      <c r="K42" s="2" t="s">
        <v>398</v>
      </c>
      <c r="L42" s="53">
        <v>60.8</v>
      </c>
      <c r="M42" s="80">
        <v>10674440</v>
      </c>
      <c r="N42" s="42" t="s">
        <v>519</v>
      </c>
      <c r="O42" s="82">
        <v>60.8</v>
      </c>
      <c r="P42" s="82" t="s">
        <v>69</v>
      </c>
      <c r="Q42" s="82">
        <v>60.8</v>
      </c>
      <c r="R42" s="84">
        <f t="shared" si="0"/>
        <v>0</v>
      </c>
    </row>
    <row r="43" spans="1:18" x14ac:dyDescent="0.35">
      <c r="A43" s="41">
        <v>10674277</v>
      </c>
      <c r="B43" s="42" t="s">
        <v>233</v>
      </c>
      <c r="C43" s="11">
        <v>51.9</v>
      </c>
      <c r="D43" s="11" t="s">
        <v>69</v>
      </c>
      <c r="E43" s="3"/>
      <c r="F43" s="18">
        <v>10674277</v>
      </c>
      <c r="G43" s="9" t="s">
        <v>383</v>
      </c>
      <c r="H43" s="10">
        <v>51.9</v>
      </c>
      <c r="I43" s="10" t="s">
        <v>69</v>
      </c>
      <c r="J43" s="76">
        <v>51.9</v>
      </c>
      <c r="K43" s="2" t="s">
        <v>398</v>
      </c>
      <c r="L43" s="53">
        <v>51.9</v>
      </c>
      <c r="M43" s="80">
        <v>10674277</v>
      </c>
      <c r="N43" s="42" t="s">
        <v>516</v>
      </c>
      <c r="O43" s="82">
        <v>51.9</v>
      </c>
      <c r="P43" s="82" t="s">
        <v>69</v>
      </c>
      <c r="Q43" s="82">
        <v>51.9</v>
      </c>
      <c r="R43" s="84">
        <f t="shared" si="0"/>
        <v>0</v>
      </c>
    </row>
    <row r="44" spans="1:18" x14ac:dyDescent="0.35">
      <c r="A44" s="41">
        <v>9658439</v>
      </c>
      <c r="B44" s="42" t="s">
        <v>185</v>
      </c>
      <c r="C44" s="11">
        <v>62.9</v>
      </c>
      <c r="D44" s="11" t="s">
        <v>69</v>
      </c>
      <c r="E44" s="3"/>
      <c r="F44" s="18">
        <v>9658439</v>
      </c>
      <c r="G44" s="9" t="s">
        <v>344</v>
      </c>
      <c r="H44" s="10">
        <v>62.9</v>
      </c>
      <c r="I44" s="10" t="s">
        <v>69</v>
      </c>
      <c r="J44" s="76">
        <v>62.9</v>
      </c>
      <c r="K44" s="2" t="s">
        <v>398</v>
      </c>
      <c r="L44" s="53">
        <v>62.9</v>
      </c>
      <c r="M44" s="80">
        <v>9658439</v>
      </c>
      <c r="N44" s="42" t="s">
        <v>474</v>
      </c>
      <c r="O44" s="82">
        <v>62.9</v>
      </c>
      <c r="P44" s="82" t="s">
        <v>69</v>
      </c>
      <c r="Q44" s="82">
        <v>62.9</v>
      </c>
      <c r="R44" s="84">
        <f t="shared" si="0"/>
        <v>0</v>
      </c>
    </row>
    <row r="45" spans="1:18" x14ac:dyDescent="0.35">
      <c r="A45" s="41">
        <v>9546033</v>
      </c>
      <c r="B45" s="42" t="s">
        <v>186</v>
      </c>
      <c r="C45" s="11">
        <v>65.400000000000006</v>
      </c>
      <c r="D45" s="11" t="s">
        <v>69</v>
      </c>
      <c r="E45" s="3"/>
      <c r="F45" s="18">
        <v>9546033</v>
      </c>
      <c r="G45" s="9" t="s">
        <v>345</v>
      </c>
      <c r="H45" s="10">
        <v>65.400000000000006</v>
      </c>
      <c r="I45" s="10" t="s">
        <v>69</v>
      </c>
      <c r="J45" s="76">
        <v>65.400000000000006</v>
      </c>
      <c r="K45" s="2" t="s">
        <v>398</v>
      </c>
      <c r="L45" s="53">
        <v>65.400000000000006</v>
      </c>
      <c r="M45" s="80">
        <v>9546033</v>
      </c>
      <c r="N45" s="42" t="s">
        <v>475</v>
      </c>
      <c r="O45" s="82">
        <v>65.400000000000006</v>
      </c>
      <c r="P45" s="82" t="s">
        <v>69</v>
      </c>
      <c r="Q45" s="82">
        <v>65.400000000000006</v>
      </c>
      <c r="R45" s="84">
        <f t="shared" si="0"/>
        <v>0</v>
      </c>
    </row>
    <row r="46" spans="1:18" x14ac:dyDescent="0.35">
      <c r="A46" s="41">
        <v>9546044</v>
      </c>
      <c r="B46" s="42" t="s">
        <v>187</v>
      </c>
      <c r="C46" s="11">
        <v>65.099999999999994</v>
      </c>
      <c r="D46" s="11" t="s">
        <v>69</v>
      </c>
      <c r="E46" s="3"/>
      <c r="F46" s="18">
        <v>9546044</v>
      </c>
      <c r="G46" s="9" t="s">
        <v>346</v>
      </c>
      <c r="H46" s="10">
        <v>65.099999999999994</v>
      </c>
      <c r="I46" s="10" t="s">
        <v>69</v>
      </c>
      <c r="J46" s="76">
        <v>65.099999999999994</v>
      </c>
      <c r="K46" s="2" t="s">
        <v>398</v>
      </c>
      <c r="L46" s="53">
        <v>65.099999999999994</v>
      </c>
      <c r="M46" s="80">
        <v>9546044</v>
      </c>
      <c r="N46" s="42" t="s">
        <v>476</v>
      </c>
      <c r="O46" s="82">
        <v>65.099999999999994</v>
      </c>
      <c r="P46" s="82" t="s">
        <v>69</v>
      </c>
      <c r="Q46" s="82">
        <v>65.099999999999994</v>
      </c>
      <c r="R46" s="84">
        <f t="shared" si="0"/>
        <v>0</v>
      </c>
    </row>
    <row r="47" spans="1:18" hidden="1" x14ac:dyDescent="0.35">
      <c r="A47" s="41"/>
      <c r="B47" s="42"/>
      <c r="C47" s="11"/>
      <c r="D47" s="11"/>
      <c r="E47" s="3"/>
      <c r="F47" s="18"/>
      <c r="G47" s="9"/>
      <c r="H47" s="10"/>
      <c r="I47" s="10"/>
      <c r="J47" s="76"/>
      <c r="K47" s="2" t="str">
        <f t="shared" ref="K47:K73" si="1">IF(I47="-", IF(J47&lt;$K$6, "Failed!", "pass"), IF(AND(H47&gt;=$J$6, I47&gt;=$J$6, J47&gt;=$K$6), "pass", "Failed!"))</f>
        <v>Failed!</v>
      </c>
      <c r="L47" s="53"/>
      <c r="M47" s="80"/>
      <c r="N47" s="42"/>
      <c r="O47" s="82"/>
      <c r="P47" s="82"/>
      <c r="Q47" s="82"/>
    </row>
    <row r="48" spans="1:18" hidden="1" x14ac:dyDescent="0.35">
      <c r="A48" s="41"/>
      <c r="B48" s="42"/>
      <c r="C48" s="11"/>
      <c r="D48" s="11"/>
      <c r="E48" s="3"/>
      <c r="F48" s="18"/>
      <c r="G48" s="9"/>
      <c r="H48" s="10"/>
      <c r="I48" s="10"/>
      <c r="J48" s="76"/>
      <c r="K48" s="2" t="str">
        <f t="shared" si="1"/>
        <v>Failed!</v>
      </c>
      <c r="L48" s="53"/>
      <c r="M48" s="80"/>
      <c r="N48" s="42"/>
      <c r="O48" s="82"/>
      <c r="P48" s="82"/>
      <c r="Q48" s="82"/>
    </row>
    <row r="49" spans="1:17" hidden="1" x14ac:dyDescent="0.35">
      <c r="A49" s="41"/>
      <c r="B49" s="42"/>
      <c r="C49" s="11"/>
      <c r="D49" s="11"/>
      <c r="E49" s="3"/>
      <c r="F49" s="19"/>
      <c r="G49" s="1"/>
      <c r="H49" s="12"/>
      <c r="I49" s="12"/>
      <c r="J49" s="77"/>
      <c r="K49" s="2" t="str">
        <f t="shared" si="1"/>
        <v>Failed!</v>
      </c>
      <c r="L49" s="53"/>
      <c r="M49" s="80"/>
      <c r="N49" s="42"/>
      <c r="O49" s="82"/>
      <c r="P49" s="82"/>
      <c r="Q49" s="82"/>
    </row>
    <row r="50" spans="1:17" hidden="1" x14ac:dyDescent="0.35">
      <c r="A50" s="41"/>
      <c r="B50" s="42"/>
      <c r="C50" s="11"/>
      <c r="D50" s="11"/>
      <c r="E50" s="3"/>
      <c r="F50" s="19"/>
      <c r="G50" s="1"/>
      <c r="H50" s="12"/>
      <c r="I50" s="12"/>
      <c r="J50" s="77"/>
      <c r="K50" s="2" t="str">
        <f t="shared" si="1"/>
        <v>Failed!</v>
      </c>
      <c r="L50" s="53"/>
      <c r="M50" s="80"/>
      <c r="N50" s="42"/>
      <c r="O50" s="82"/>
      <c r="P50" s="82"/>
      <c r="Q50" s="82"/>
    </row>
    <row r="51" spans="1:17" hidden="1" x14ac:dyDescent="0.35">
      <c r="A51" s="41"/>
      <c r="B51" s="42"/>
      <c r="C51" s="11"/>
      <c r="D51" s="11"/>
      <c r="E51" s="3"/>
      <c r="F51" s="19"/>
      <c r="G51" s="1"/>
      <c r="H51" s="12"/>
      <c r="I51" s="12"/>
      <c r="J51" s="77"/>
      <c r="K51" s="2" t="str">
        <f t="shared" si="1"/>
        <v>Failed!</v>
      </c>
      <c r="L51" s="53"/>
      <c r="M51" s="80"/>
      <c r="N51" s="42"/>
      <c r="O51" s="82"/>
      <c r="P51" s="82"/>
      <c r="Q51" s="82"/>
    </row>
    <row r="52" spans="1:17" hidden="1" x14ac:dyDescent="0.35">
      <c r="A52" s="41"/>
      <c r="B52" s="42"/>
      <c r="C52" s="11"/>
      <c r="D52" s="11"/>
      <c r="E52" s="3"/>
      <c r="F52" s="19"/>
      <c r="G52" s="1"/>
      <c r="H52" s="12"/>
      <c r="I52" s="12"/>
      <c r="J52" s="77"/>
      <c r="K52" s="2" t="str">
        <f t="shared" si="1"/>
        <v>Failed!</v>
      </c>
      <c r="L52" s="53"/>
      <c r="M52" s="80"/>
      <c r="N52" s="42"/>
      <c r="O52" s="82"/>
      <c r="P52" s="82"/>
      <c r="Q52" s="82"/>
    </row>
    <row r="53" spans="1:17" hidden="1" x14ac:dyDescent="0.35">
      <c r="A53" s="41"/>
      <c r="B53" s="42"/>
      <c r="C53" s="11"/>
      <c r="D53" s="11"/>
      <c r="E53" s="3"/>
      <c r="F53" s="19"/>
      <c r="G53" s="1"/>
      <c r="H53" s="12"/>
      <c r="I53" s="12"/>
      <c r="J53" s="77"/>
      <c r="K53" s="2" t="str">
        <f t="shared" si="1"/>
        <v>Failed!</v>
      </c>
      <c r="L53" s="53"/>
      <c r="M53" s="80"/>
      <c r="N53" s="42"/>
      <c r="O53" s="82"/>
      <c r="P53" s="82"/>
      <c r="Q53" s="82"/>
    </row>
    <row r="54" spans="1:17" hidden="1" x14ac:dyDescent="0.35">
      <c r="A54" s="41"/>
      <c r="B54" s="42"/>
      <c r="C54" s="11"/>
      <c r="D54" s="11"/>
      <c r="E54" s="3"/>
      <c r="F54" s="19"/>
      <c r="G54" s="1"/>
      <c r="H54" s="12"/>
      <c r="I54" s="12"/>
      <c r="J54" s="77"/>
      <c r="K54" s="2" t="str">
        <f t="shared" si="1"/>
        <v>Failed!</v>
      </c>
      <c r="L54" s="53"/>
      <c r="M54" s="80"/>
      <c r="N54" s="42"/>
      <c r="O54" s="82"/>
      <c r="P54" s="82"/>
      <c r="Q54" s="82"/>
    </row>
    <row r="55" spans="1:17" hidden="1" x14ac:dyDescent="0.35">
      <c r="A55" s="41"/>
      <c r="B55" s="42"/>
      <c r="C55" s="11"/>
      <c r="D55" s="11"/>
      <c r="E55" s="3"/>
      <c r="F55" s="19"/>
      <c r="G55" s="1"/>
      <c r="H55" s="12"/>
      <c r="I55" s="12"/>
      <c r="J55" s="77"/>
      <c r="K55" s="2" t="str">
        <f t="shared" si="1"/>
        <v>Failed!</v>
      </c>
      <c r="L55" s="53"/>
      <c r="M55" s="80"/>
      <c r="N55" s="42"/>
      <c r="O55" s="82"/>
      <c r="P55" s="82"/>
      <c r="Q55" s="82"/>
    </row>
    <row r="56" spans="1:17" hidden="1" x14ac:dyDescent="0.35">
      <c r="A56" s="41"/>
      <c r="B56" s="42"/>
      <c r="C56" s="11"/>
      <c r="D56" s="11"/>
      <c r="E56" s="3"/>
      <c r="F56" s="19"/>
      <c r="G56" s="1"/>
      <c r="H56" s="12"/>
      <c r="I56" s="12"/>
      <c r="J56" s="77"/>
      <c r="K56" s="2" t="str">
        <f t="shared" si="1"/>
        <v>Failed!</v>
      </c>
      <c r="L56" s="53"/>
      <c r="M56" s="80"/>
      <c r="N56" s="42"/>
      <c r="O56" s="82"/>
      <c r="P56" s="82"/>
      <c r="Q56" s="82"/>
    </row>
    <row r="57" spans="1:17" hidden="1" x14ac:dyDescent="0.35">
      <c r="A57" s="41"/>
      <c r="B57" s="42"/>
      <c r="C57" s="11"/>
      <c r="D57" s="11"/>
      <c r="E57" s="3"/>
      <c r="F57" s="19"/>
      <c r="G57" s="1"/>
      <c r="H57" s="12"/>
      <c r="I57" s="12"/>
      <c r="J57" s="77"/>
      <c r="K57" s="2" t="str">
        <f t="shared" si="1"/>
        <v>Failed!</v>
      </c>
      <c r="L57" s="53"/>
      <c r="M57" s="80"/>
      <c r="N57" s="42"/>
      <c r="O57" s="82"/>
      <c r="P57" s="82"/>
      <c r="Q57" s="82"/>
    </row>
    <row r="58" spans="1:17" hidden="1" x14ac:dyDescent="0.35">
      <c r="A58" s="41"/>
      <c r="B58" s="42"/>
      <c r="C58" s="11"/>
      <c r="D58" s="11"/>
      <c r="E58" s="3"/>
      <c r="F58" s="19"/>
      <c r="G58" s="1"/>
      <c r="H58" s="12"/>
      <c r="I58" s="12"/>
      <c r="J58" s="77"/>
      <c r="K58" s="2" t="str">
        <f t="shared" si="1"/>
        <v>Failed!</v>
      </c>
      <c r="L58" s="53"/>
      <c r="M58" s="80"/>
      <c r="N58" s="42"/>
      <c r="O58" s="82"/>
      <c r="P58" s="82"/>
      <c r="Q58" s="82"/>
    </row>
    <row r="59" spans="1:17" hidden="1" x14ac:dyDescent="0.35">
      <c r="A59" s="41"/>
      <c r="B59" s="42"/>
      <c r="C59" s="11"/>
      <c r="D59" s="11"/>
      <c r="E59" s="3"/>
      <c r="F59" s="18"/>
      <c r="G59" s="9"/>
      <c r="H59" s="10"/>
      <c r="I59" s="10"/>
      <c r="J59" s="76"/>
      <c r="K59" s="2" t="str">
        <f t="shared" si="1"/>
        <v>Failed!</v>
      </c>
      <c r="L59" s="53"/>
      <c r="M59" s="80"/>
      <c r="N59" s="42"/>
      <c r="O59" s="82"/>
      <c r="P59" s="82"/>
      <c r="Q59" s="82"/>
    </row>
    <row r="60" spans="1:17" hidden="1" x14ac:dyDescent="0.35">
      <c r="A60" s="41"/>
      <c r="B60" s="42"/>
      <c r="C60" s="11"/>
      <c r="D60" s="11"/>
      <c r="E60" s="3"/>
      <c r="F60" s="18"/>
      <c r="G60" s="9"/>
      <c r="H60" s="10"/>
      <c r="I60" s="10"/>
      <c r="J60" s="76"/>
      <c r="K60" s="2" t="str">
        <f t="shared" si="1"/>
        <v>Failed!</v>
      </c>
      <c r="L60" s="53"/>
      <c r="M60" s="80"/>
      <c r="N60" s="42"/>
      <c r="O60" s="82"/>
      <c r="P60" s="82"/>
      <c r="Q60" s="82"/>
    </row>
    <row r="61" spans="1:17" hidden="1" x14ac:dyDescent="0.35">
      <c r="A61" s="41"/>
      <c r="B61" s="42"/>
      <c r="C61" s="11"/>
      <c r="D61" s="11"/>
      <c r="E61" s="3"/>
      <c r="F61" s="18"/>
      <c r="G61" s="9"/>
      <c r="H61" s="10"/>
      <c r="I61" s="10"/>
      <c r="J61" s="76"/>
      <c r="K61" s="2" t="str">
        <f t="shared" si="1"/>
        <v>Failed!</v>
      </c>
      <c r="L61" s="53"/>
      <c r="M61" s="80"/>
      <c r="N61" s="42"/>
      <c r="O61" s="82"/>
      <c r="P61" s="82"/>
      <c r="Q61" s="82"/>
    </row>
    <row r="62" spans="1:17" hidden="1" x14ac:dyDescent="0.35">
      <c r="A62" s="41"/>
      <c r="B62" s="42"/>
      <c r="C62" s="11"/>
      <c r="D62" s="11"/>
      <c r="E62" s="3"/>
      <c r="F62" s="18"/>
      <c r="G62" s="9"/>
      <c r="H62" s="10"/>
      <c r="I62" s="10"/>
      <c r="J62" s="76"/>
      <c r="K62" s="2" t="str">
        <f t="shared" si="1"/>
        <v>Failed!</v>
      </c>
      <c r="L62" s="53"/>
      <c r="M62" s="80"/>
      <c r="N62" s="42"/>
      <c r="O62" s="82"/>
      <c r="P62" s="82"/>
      <c r="Q62" s="82"/>
    </row>
    <row r="63" spans="1:17" hidden="1" x14ac:dyDescent="0.35">
      <c r="A63" s="41"/>
      <c r="B63" s="42"/>
      <c r="C63" s="11"/>
      <c r="D63" s="11"/>
      <c r="E63" s="3"/>
      <c r="F63" s="18"/>
      <c r="G63" s="9"/>
      <c r="H63" s="10"/>
      <c r="I63" s="10"/>
      <c r="J63" s="76"/>
      <c r="K63" s="2" t="str">
        <f t="shared" si="1"/>
        <v>Failed!</v>
      </c>
      <c r="L63" s="53"/>
      <c r="M63" s="80"/>
      <c r="N63" s="42"/>
      <c r="O63" s="82"/>
      <c r="P63" s="82"/>
      <c r="Q63" s="82"/>
    </row>
    <row r="64" spans="1:17" hidden="1" x14ac:dyDescent="0.35">
      <c r="A64" s="41"/>
      <c r="B64" s="42"/>
      <c r="C64" s="11"/>
      <c r="D64" s="11"/>
      <c r="E64" s="3"/>
      <c r="F64" s="18"/>
      <c r="G64" s="9"/>
      <c r="H64" s="10"/>
      <c r="I64" s="10"/>
      <c r="J64" s="76"/>
      <c r="K64" s="2" t="str">
        <f t="shared" si="1"/>
        <v>Failed!</v>
      </c>
      <c r="L64" s="53"/>
      <c r="M64" s="80"/>
      <c r="N64" s="42"/>
      <c r="O64" s="82"/>
      <c r="P64" s="82"/>
      <c r="Q64" s="82"/>
    </row>
    <row r="65" spans="1:17" hidden="1" x14ac:dyDescent="0.35">
      <c r="A65" s="41"/>
      <c r="B65" s="42"/>
      <c r="C65" s="11"/>
      <c r="D65" s="11"/>
      <c r="E65" s="3"/>
      <c r="F65" s="18"/>
      <c r="G65" s="9"/>
      <c r="H65" s="10"/>
      <c r="I65" s="10"/>
      <c r="J65" s="76"/>
      <c r="K65" s="2" t="str">
        <f t="shared" si="1"/>
        <v>Failed!</v>
      </c>
      <c r="L65" s="53"/>
      <c r="M65" s="80"/>
      <c r="N65" s="42"/>
      <c r="O65" s="82"/>
      <c r="P65" s="82"/>
      <c r="Q65" s="82"/>
    </row>
    <row r="66" spans="1:17" hidden="1" x14ac:dyDescent="0.35">
      <c r="A66" s="41"/>
      <c r="B66" s="42"/>
      <c r="C66" s="11"/>
      <c r="D66" s="11"/>
      <c r="E66" s="3"/>
      <c r="F66" s="18"/>
      <c r="G66" s="9"/>
      <c r="H66" s="10"/>
      <c r="I66" s="10"/>
      <c r="J66" s="76"/>
      <c r="K66" s="2" t="str">
        <f t="shared" si="1"/>
        <v>Failed!</v>
      </c>
      <c r="L66" s="53"/>
      <c r="M66" s="80"/>
      <c r="N66" s="42"/>
      <c r="O66" s="82"/>
      <c r="P66" s="82"/>
      <c r="Q66" s="82"/>
    </row>
    <row r="67" spans="1:17" hidden="1" x14ac:dyDescent="0.35">
      <c r="A67" s="41"/>
      <c r="B67" s="42"/>
      <c r="C67" s="11"/>
      <c r="D67" s="11"/>
      <c r="E67" s="3"/>
      <c r="F67" s="18"/>
      <c r="G67" s="9"/>
      <c r="H67" s="10"/>
      <c r="I67" s="10"/>
      <c r="J67" s="76"/>
      <c r="K67" s="2" t="str">
        <f t="shared" si="1"/>
        <v>Failed!</v>
      </c>
      <c r="L67" s="53"/>
      <c r="M67" s="80"/>
      <c r="N67" s="42"/>
      <c r="O67" s="82"/>
      <c r="P67" s="82"/>
      <c r="Q67" s="82"/>
    </row>
    <row r="68" spans="1:17" hidden="1" x14ac:dyDescent="0.35">
      <c r="A68" s="41"/>
      <c r="B68" s="42"/>
      <c r="C68" s="11"/>
      <c r="D68" s="11"/>
      <c r="E68" s="3"/>
      <c r="F68" s="18"/>
      <c r="G68" s="9"/>
      <c r="H68" s="10"/>
      <c r="I68" s="10"/>
      <c r="J68" s="76"/>
      <c r="K68" s="2" t="str">
        <f t="shared" si="1"/>
        <v>Failed!</v>
      </c>
      <c r="L68" s="53"/>
      <c r="M68" s="80"/>
      <c r="N68" s="42"/>
      <c r="O68" s="82"/>
      <c r="P68" s="82"/>
      <c r="Q68" s="82"/>
    </row>
    <row r="69" spans="1:17" hidden="1" x14ac:dyDescent="0.35">
      <c r="A69" s="41"/>
      <c r="B69" s="42"/>
      <c r="C69" s="11"/>
      <c r="D69" s="11"/>
      <c r="E69" s="3"/>
      <c r="F69" s="18"/>
      <c r="G69" s="9"/>
      <c r="H69" s="10"/>
      <c r="I69" s="10"/>
      <c r="J69" s="76"/>
      <c r="K69" s="2" t="str">
        <f t="shared" si="1"/>
        <v>Failed!</v>
      </c>
      <c r="L69" s="53"/>
      <c r="M69" s="80"/>
      <c r="N69" s="42"/>
      <c r="O69" s="82"/>
      <c r="P69" s="82"/>
      <c r="Q69" s="82"/>
    </row>
    <row r="70" spans="1:17" hidden="1" x14ac:dyDescent="0.35">
      <c r="A70" s="41"/>
      <c r="B70" s="42"/>
      <c r="C70" s="11"/>
      <c r="D70" s="11"/>
      <c r="E70" s="3"/>
      <c r="F70" s="18"/>
      <c r="G70" s="9"/>
      <c r="H70" s="10"/>
      <c r="I70" s="10"/>
      <c r="J70" s="76"/>
      <c r="K70" s="2" t="str">
        <f t="shared" si="1"/>
        <v>Failed!</v>
      </c>
      <c r="L70" s="53"/>
      <c r="M70" s="80"/>
      <c r="N70" s="42"/>
      <c r="O70" s="82"/>
      <c r="P70" s="82"/>
      <c r="Q70" s="82"/>
    </row>
    <row r="71" spans="1:17" hidden="1" x14ac:dyDescent="0.35">
      <c r="A71" s="41"/>
      <c r="B71" s="42"/>
      <c r="C71" s="11"/>
      <c r="D71" s="11"/>
      <c r="E71" s="3"/>
      <c r="F71" s="18"/>
      <c r="G71" s="9"/>
      <c r="H71" s="10"/>
      <c r="I71" s="10"/>
      <c r="J71" s="76"/>
      <c r="K71" s="2" t="str">
        <f t="shared" si="1"/>
        <v>Failed!</v>
      </c>
      <c r="L71" s="53"/>
      <c r="M71" s="80"/>
      <c r="N71" s="42"/>
      <c r="O71" s="82"/>
      <c r="P71" s="82"/>
      <c r="Q71" s="82"/>
    </row>
    <row r="72" spans="1:17" hidden="1" x14ac:dyDescent="0.35">
      <c r="A72" s="41"/>
      <c r="B72" s="42"/>
      <c r="C72" s="11"/>
      <c r="D72" s="11"/>
      <c r="E72" s="3"/>
      <c r="F72" s="18"/>
      <c r="G72" s="9"/>
      <c r="H72" s="10"/>
      <c r="I72" s="10"/>
      <c r="J72" s="76"/>
      <c r="K72" s="2" t="str">
        <f t="shared" si="1"/>
        <v>Failed!</v>
      </c>
      <c r="L72" s="53"/>
      <c r="M72" s="80"/>
      <c r="N72" s="42"/>
      <c r="O72" s="82"/>
      <c r="P72" s="82"/>
      <c r="Q72" s="82"/>
    </row>
    <row r="73" spans="1:17" hidden="1" x14ac:dyDescent="0.35">
      <c r="A73" s="41"/>
      <c r="B73" s="42"/>
      <c r="C73" s="11"/>
      <c r="D73" s="11"/>
      <c r="E73" s="3"/>
      <c r="F73" s="18"/>
      <c r="G73" s="9"/>
      <c r="H73" s="10"/>
      <c r="I73" s="10"/>
      <c r="J73" s="76"/>
      <c r="K73" s="2" t="str">
        <f t="shared" si="1"/>
        <v>Failed!</v>
      </c>
      <c r="L73" s="53"/>
      <c r="M73" s="80"/>
      <c r="N73" s="42"/>
      <c r="O73" s="82"/>
      <c r="P73" s="82"/>
      <c r="Q73" s="82"/>
    </row>
    <row r="74" spans="1:17" hidden="1" x14ac:dyDescent="0.35">
      <c r="A74" s="41"/>
      <c r="B74" s="42"/>
      <c r="C74" s="11"/>
      <c r="D74" s="11"/>
      <c r="E74" s="3"/>
      <c r="F74" s="18"/>
      <c r="G74" s="9"/>
      <c r="H74" s="10"/>
      <c r="I74" s="10"/>
      <c r="J74" s="76"/>
      <c r="K74" s="2" t="str">
        <f t="shared" ref="K74:K88" si="2">IF(I74="-", IF(J74&lt;$K$6, "Failed!", "pass"), IF(AND(H74&gt;=$J$6, I74&gt;=$J$6, J74&gt;=$K$6), "pass", "Failed!"))</f>
        <v>Failed!</v>
      </c>
      <c r="L74" s="53"/>
      <c r="M74" s="80"/>
      <c r="N74" s="42"/>
      <c r="O74" s="82"/>
      <c r="P74" s="82"/>
      <c r="Q74" s="82"/>
    </row>
    <row r="75" spans="1:17" hidden="1" x14ac:dyDescent="0.35">
      <c r="A75" s="41"/>
      <c r="B75" s="42"/>
      <c r="C75" s="11"/>
      <c r="D75" s="11"/>
      <c r="E75" s="3"/>
      <c r="F75" s="18"/>
      <c r="G75" s="9"/>
      <c r="H75" s="10"/>
      <c r="I75" s="10"/>
      <c r="J75" s="76"/>
      <c r="K75" s="2" t="str">
        <f t="shared" si="2"/>
        <v>Failed!</v>
      </c>
      <c r="L75" s="53"/>
      <c r="M75" s="80"/>
      <c r="N75" s="42"/>
      <c r="O75" s="82"/>
      <c r="P75" s="82"/>
      <c r="Q75" s="82"/>
    </row>
    <row r="76" spans="1:17" hidden="1" x14ac:dyDescent="0.35">
      <c r="A76" s="41"/>
      <c r="B76" s="42"/>
      <c r="C76" s="11"/>
      <c r="D76" s="11"/>
      <c r="E76" s="3"/>
      <c r="F76" s="18"/>
      <c r="G76" s="9"/>
      <c r="H76" s="10"/>
      <c r="I76" s="10"/>
      <c r="J76" s="76"/>
      <c r="K76" s="2" t="str">
        <f t="shared" si="2"/>
        <v>Failed!</v>
      </c>
      <c r="L76" s="53"/>
      <c r="M76" s="80"/>
      <c r="N76" s="42"/>
      <c r="O76" s="82"/>
      <c r="P76" s="82"/>
      <c r="Q76" s="82"/>
    </row>
    <row r="77" spans="1:17" hidden="1" x14ac:dyDescent="0.35">
      <c r="A77" s="41"/>
      <c r="B77" s="42"/>
      <c r="C77" s="11"/>
      <c r="D77" s="11"/>
      <c r="E77" s="3"/>
      <c r="F77" s="18"/>
      <c r="G77" s="9"/>
      <c r="H77" s="10"/>
      <c r="I77" s="10"/>
      <c r="J77" s="76"/>
      <c r="K77" s="2" t="str">
        <f t="shared" si="2"/>
        <v>Failed!</v>
      </c>
      <c r="L77" s="53"/>
      <c r="M77" s="80"/>
      <c r="N77" s="42"/>
      <c r="O77" s="82"/>
      <c r="P77" s="82"/>
      <c r="Q77" s="82"/>
    </row>
    <row r="78" spans="1:17" hidden="1" x14ac:dyDescent="0.35">
      <c r="A78" s="41"/>
      <c r="B78" s="42"/>
      <c r="C78" s="11"/>
      <c r="D78" s="11"/>
      <c r="E78" s="3"/>
      <c r="F78" s="18"/>
      <c r="G78" s="9"/>
      <c r="H78" s="10"/>
      <c r="I78" s="10"/>
      <c r="J78" s="76"/>
      <c r="K78" s="2" t="str">
        <f t="shared" si="2"/>
        <v>Failed!</v>
      </c>
      <c r="L78" s="53"/>
      <c r="M78" s="80"/>
      <c r="N78" s="42"/>
      <c r="O78" s="82"/>
      <c r="P78" s="82"/>
      <c r="Q78" s="82"/>
    </row>
    <row r="79" spans="1:17" hidden="1" x14ac:dyDescent="0.35">
      <c r="A79" s="41"/>
      <c r="B79" s="42"/>
      <c r="C79" s="11"/>
      <c r="D79" s="11"/>
      <c r="E79" s="3"/>
      <c r="F79" s="18"/>
      <c r="G79" s="9"/>
      <c r="H79" s="10"/>
      <c r="I79" s="10"/>
      <c r="J79" s="76"/>
      <c r="K79" s="2" t="str">
        <f t="shared" si="2"/>
        <v>Failed!</v>
      </c>
      <c r="L79" s="53"/>
      <c r="M79" s="80"/>
      <c r="N79" s="42"/>
      <c r="O79" s="82"/>
      <c r="P79" s="82"/>
      <c r="Q79" s="82"/>
    </row>
    <row r="80" spans="1:17" hidden="1" x14ac:dyDescent="0.35">
      <c r="A80" s="41"/>
      <c r="B80" s="42"/>
      <c r="C80" s="11"/>
      <c r="D80" s="11"/>
      <c r="E80" s="3"/>
      <c r="F80" s="18"/>
      <c r="G80" s="9"/>
      <c r="H80" s="10"/>
      <c r="I80" s="10"/>
      <c r="J80" s="76"/>
      <c r="K80" s="2" t="str">
        <f t="shared" si="2"/>
        <v>Failed!</v>
      </c>
      <c r="L80" s="53"/>
      <c r="M80" s="80"/>
      <c r="N80" s="42"/>
      <c r="O80" s="82"/>
      <c r="P80" s="82"/>
      <c r="Q80" s="82"/>
    </row>
    <row r="81" spans="1:17" hidden="1" x14ac:dyDescent="0.35">
      <c r="A81" s="41"/>
      <c r="B81" s="42"/>
      <c r="C81" s="11"/>
      <c r="D81" s="11"/>
      <c r="E81" s="3"/>
      <c r="F81" s="18"/>
      <c r="G81" s="9"/>
      <c r="H81" s="10"/>
      <c r="I81" s="10"/>
      <c r="J81" s="76"/>
      <c r="K81" s="2" t="str">
        <f t="shared" si="2"/>
        <v>Failed!</v>
      </c>
      <c r="L81" s="53"/>
      <c r="M81" s="80"/>
      <c r="N81" s="42"/>
      <c r="O81" s="82"/>
      <c r="P81" s="82"/>
      <c r="Q81" s="82"/>
    </row>
    <row r="82" spans="1:17" hidden="1" x14ac:dyDescent="0.35">
      <c r="A82" s="41"/>
      <c r="B82" s="42"/>
      <c r="C82" s="11"/>
      <c r="D82" s="11"/>
      <c r="E82" s="3"/>
      <c r="F82" s="18"/>
      <c r="G82" s="9"/>
      <c r="H82" s="10"/>
      <c r="I82" s="10"/>
      <c r="J82" s="76"/>
      <c r="K82" s="2" t="str">
        <f t="shared" si="2"/>
        <v>Failed!</v>
      </c>
      <c r="L82" s="53"/>
      <c r="M82" s="80"/>
      <c r="N82" s="42"/>
      <c r="O82" s="82"/>
      <c r="P82" s="82"/>
      <c r="Q82" s="82"/>
    </row>
    <row r="83" spans="1:17" hidden="1" x14ac:dyDescent="0.35">
      <c r="A83" s="41"/>
      <c r="B83" s="42"/>
      <c r="C83" s="11"/>
      <c r="D83" s="11"/>
      <c r="E83" s="3"/>
      <c r="F83" s="18"/>
      <c r="G83" s="9"/>
      <c r="H83" s="10"/>
      <c r="I83" s="10"/>
      <c r="J83" s="76"/>
      <c r="K83" s="2" t="str">
        <f t="shared" si="2"/>
        <v>Failed!</v>
      </c>
      <c r="L83" s="53"/>
      <c r="M83" s="80"/>
      <c r="N83" s="42"/>
      <c r="O83" s="82"/>
      <c r="P83" s="82"/>
      <c r="Q83" s="82"/>
    </row>
    <row r="84" spans="1:17" hidden="1" x14ac:dyDescent="0.35">
      <c r="A84" s="41"/>
      <c r="B84" s="42"/>
      <c r="C84" s="11"/>
      <c r="D84" s="11"/>
      <c r="E84" s="3"/>
      <c r="F84" s="18"/>
      <c r="G84" s="9"/>
      <c r="H84" s="10"/>
      <c r="I84" s="10"/>
      <c r="J84" s="76"/>
      <c r="K84" s="2" t="str">
        <f t="shared" si="2"/>
        <v>Failed!</v>
      </c>
      <c r="L84" s="53"/>
      <c r="M84" s="80"/>
      <c r="N84" s="42"/>
      <c r="O84" s="82"/>
      <c r="P84" s="82"/>
      <c r="Q84" s="82"/>
    </row>
    <row r="85" spans="1:17" hidden="1" x14ac:dyDescent="0.35">
      <c r="A85" s="41"/>
      <c r="B85" s="42"/>
      <c r="C85" s="11"/>
      <c r="D85" s="11"/>
      <c r="E85" s="3"/>
      <c r="F85" s="18"/>
      <c r="G85" s="9"/>
      <c r="H85" s="10"/>
      <c r="I85" s="10"/>
      <c r="J85" s="76"/>
      <c r="K85" s="2" t="str">
        <f t="shared" si="2"/>
        <v>Failed!</v>
      </c>
      <c r="L85" s="53"/>
      <c r="M85" s="80"/>
      <c r="N85" s="42"/>
      <c r="O85" s="82"/>
      <c r="P85" s="82"/>
      <c r="Q85" s="82"/>
    </row>
    <row r="86" spans="1:17" hidden="1" x14ac:dyDescent="0.35">
      <c r="A86" s="41"/>
      <c r="B86" s="42"/>
      <c r="C86" s="11"/>
      <c r="D86" s="11"/>
      <c r="E86" s="3"/>
      <c r="F86" s="18"/>
      <c r="G86" s="9"/>
      <c r="H86" s="10"/>
      <c r="I86" s="10"/>
      <c r="J86" s="76"/>
      <c r="K86" s="2" t="str">
        <f t="shared" si="2"/>
        <v>Failed!</v>
      </c>
      <c r="L86" s="53"/>
      <c r="M86" s="80"/>
      <c r="N86" s="42"/>
      <c r="O86" s="82"/>
      <c r="P86" s="82"/>
      <c r="Q86" s="82"/>
    </row>
    <row r="87" spans="1:17" hidden="1" x14ac:dyDescent="0.35">
      <c r="A87" s="41"/>
      <c r="B87" s="42"/>
      <c r="C87" s="11"/>
      <c r="D87" s="11"/>
      <c r="E87" s="3"/>
      <c r="F87" s="18"/>
      <c r="G87" s="9"/>
      <c r="H87" s="10"/>
      <c r="I87" s="10"/>
      <c r="J87" s="76"/>
      <c r="K87" s="2" t="str">
        <f t="shared" si="2"/>
        <v>Failed!</v>
      </c>
      <c r="L87" s="53"/>
      <c r="M87" s="80"/>
      <c r="N87" s="42"/>
      <c r="O87" s="82"/>
      <c r="P87" s="82"/>
      <c r="Q87" s="82"/>
    </row>
    <row r="88" spans="1:17" hidden="1" x14ac:dyDescent="0.35">
      <c r="A88" s="41"/>
      <c r="B88" s="42"/>
      <c r="C88" s="11"/>
      <c r="D88" s="11"/>
      <c r="E88" s="3"/>
      <c r="F88" s="18"/>
      <c r="G88" s="9"/>
      <c r="H88" s="10"/>
      <c r="I88" s="10"/>
      <c r="J88" s="76"/>
      <c r="K88" s="2" t="str">
        <f t="shared" si="2"/>
        <v>Failed!</v>
      </c>
      <c r="L88" s="53"/>
      <c r="M88" s="80"/>
      <c r="N88" s="42"/>
      <c r="O88" s="82"/>
      <c r="P88" s="82"/>
      <c r="Q88" s="82"/>
    </row>
    <row r="89" spans="1:17" x14ac:dyDescent="0.35">
      <c r="M89" s="4"/>
    </row>
    <row r="90" spans="1:17" x14ac:dyDescent="0.35">
      <c r="F90" s="4">
        <f>COUNTA(F10:F88)</f>
        <v>37</v>
      </c>
      <c r="G90" s="2" t="s">
        <v>14</v>
      </c>
      <c r="H90" s="40">
        <f>MAX(H10:H88)</f>
        <v>72.900000000000006</v>
      </c>
      <c r="I90" s="40">
        <f>MAX(I10:I88)</f>
        <v>0</v>
      </c>
      <c r="J90" s="40">
        <f>MAX(L10:L88)</f>
        <v>72.900000000000006</v>
      </c>
      <c r="M90" s="4"/>
    </row>
    <row r="91" spans="1:17" x14ac:dyDescent="0.35">
      <c r="G91" s="2" t="s">
        <v>12</v>
      </c>
      <c r="H91" s="40">
        <f>AVERAGE(H10:H88)</f>
        <v>62.335135135135147</v>
      </c>
      <c r="I91" s="40" t="e">
        <f>AVERAGE(I10:I88)</f>
        <v>#DIV/0!</v>
      </c>
      <c r="J91" s="40">
        <f>AVERAGE(L10:L88)</f>
        <v>62.318918918918939</v>
      </c>
      <c r="M91" s="4"/>
    </row>
    <row r="92" spans="1:17" x14ac:dyDescent="0.35">
      <c r="G92" s="2" t="s">
        <v>15</v>
      </c>
      <c r="H92" s="40">
        <f>MIN(H10:H88)</f>
        <v>51.9</v>
      </c>
      <c r="I92" s="40">
        <f>MIN(I10:I88)</f>
        <v>0</v>
      </c>
      <c r="J92" s="40">
        <f>MIN(L10:L88)</f>
        <v>51.9</v>
      </c>
      <c r="M92" s="4"/>
    </row>
    <row r="93" spans="1:17" x14ac:dyDescent="0.35">
      <c r="G93" s="2" t="s">
        <v>13</v>
      </c>
      <c r="H93" s="40">
        <f>STDEV(H10:H88)</f>
        <v>5.2043900387726207</v>
      </c>
      <c r="I93" s="40" t="e">
        <f>STDEV(I10:I88)</f>
        <v>#DIV/0!</v>
      </c>
      <c r="J93" s="40">
        <f>STDEV(L10:L88)</f>
        <v>5.2079980072234324</v>
      </c>
      <c r="M93" s="4"/>
    </row>
    <row r="94" spans="1:17" x14ac:dyDescent="0.35">
      <c r="G94" s="2" t="str">
        <f>"Failed count ( &lt; " &amp; K6 &amp; " )"</f>
        <v>Failed count ( &lt; 40 )</v>
      </c>
      <c r="H94" s="50">
        <f>COUNTIF(H10:H88, "&lt;40")</f>
        <v>0</v>
      </c>
      <c r="I94" s="50">
        <f>COUNTIF(I10:I88, "&lt;40")</f>
        <v>0</v>
      </c>
      <c r="J94" s="50">
        <f>COUNTIF(L10:L88, "&lt;40")</f>
        <v>0</v>
      </c>
      <c r="M94" s="4"/>
    </row>
    <row r="95" spans="1:17" x14ac:dyDescent="0.35">
      <c r="G95" s="2" t="s">
        <v>16</v>
      </c>
      <c r="H95" s="49">
        <f>1-H94/$F90</f>
        <v>1</v>
      </c>
      <c r="I95" s="49">
        <f>1-I94/$F90</f>
        <v>1</v>
      </c>
      <c r="J95" s="49">
        <f>1-J94/$F90</f>
        <v>1</v>
      </c>
      <c r="M95" s="4"/>
    </row>
    <row r="96" spans="1:17" x14ac:dyDescent="0.35">
      <c r="M96" s="4"/>
    </row>
    <row r="97" spans="13:13" x14ac:dyDescent="0.35">
      <c r="M97" s="4"/>
    </row>
    <row r="98" spans="13:13" x14ac:dyDescent="0.35">
      <c r="M98" s="4"/>
    </row>
    <row r="99" spans="13:13" x14ac:dyDescent="0.35">
      <c r="M99" s="4"/>
    </row>
    <row r="100" spans="13:13" x14ac:dyDescent="0.35">
      <c r="M100" s="4"/>
    </row>
    <row r="101" spans="13:13" x14ac:dyDescent="0.35">
      <c r="M101" s="4"/>
    </row>
    <row r="102" spans="13:13" x14ac:dyDescent="0.35">
      <c r="M102" s="4"/>
    </row>
    <row r="103" spans="13:13" x14ac:dyDescent="0.35">
      <c r="M103" s="4"/>
    </row>
    <row r="104" spans="13:13" x14ac:dyDescent="0.35">
      <c r="M104" s="4"/>
    </row>
    <row r="105" spans="13:13" x14ac:dyDescent="0.35">
      <c r="M105" s="4"/>
    </row>
    <row r="106" spans="13:13" x14ac:dyDescent="0.35">
      <c r="M106" s="4"/>
    </row>
    <row r="107" spans="13:13" x14ac:dyDescent="0.35">
      <c r="M107" s="4"/>
    </row>
    <row r="108" spans="13:13" x14ac:dyDescent="0.35">
      <c r="M108" s="4"/>
    </row>
    <row r="109" spans="13:13" x14ac:dyDescent="0.35">
      <c r="M109" s="4"/>
    </row>
  </sheetData>
  <conditionalFormatting sqref="H10:J88">
    <cfRule type="cellIs" dxfId="6" priority="1" operator="lessThan">
      <formula>$K$6</formula>
    </cfRule>
  </conditionalFormatting>
  <conditionalFormatting sqref="F10:I88">
    <cfRule type="expression" dxfId="5" priority="2" stopIfTrue="1">
      <formula>F10=A10</formula>
    </cfRule>
    <cfRule type="expression" dxfId="4" priority="3" stopIfTrue="1">
      <formula>F10&lt;&gt;A10</formula>
    </cfRule>
  </conditionalFormatting>
  <conditionalFormatting sqref="M10:Q46">
    <cfRule type="expression" dxfId="3" priority="4" stopIfTrue="1">
      <formula>M10=F10</formula>
    </cfRule>
    <cfRule type="expression" dxfId="2" priority="5" stopIfTrue="1">
      <formula>M10&lt;&gt;F10</formula>
    </cfRule>
  </conditionalFormatting>
  <hyperlinks>
    <hyperlink ref="A1" location="Total!A1" display="Total"/>
  </hyperlinks>
  <pageMargins left="0.7" right="0.7" top="0.75" bottom="0.75" header="0.3" footer="0.3"/>
  <pageSetup scale="83"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ReorganiseMarkSheetData">
                <anchor moveWithCells="1" sizeWithCells="1">
                  <from>
                    <xdr:col>9</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82946" r:id="rId5" name="Button 2">
              <controlPr defaultSize="0" print="0" autoFill="0" autoPict="0" macro="[0]!ImportSABpdf">
                <anchor moveWithCells="1" siz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82947" r:id="rId6" name="Button 3">
              <controlPr defaultSize="0" print="0" autoFill="0" autoPict="0" macro="[0]!Check_Fail">
                <anchor moveWithCells="1" sizeWithCells="1">
                  <from>
                    <xdr:col>9</xdr:col>
                    <xdr:colOff>0</xdr:colOff>
                    <xdr:row>4</xdr:row>
                    <xdr:rowOff>190500</xdr:rowOff>
                  </from>
                  <to>
                    <xdr:col>11</xdr:col>
                    <xdr:colOff>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3C7B137C8D2BF4B9064B5BC8484256B" ma:contentTypeVersion="13" ma:contentTypeDescription="Create a new document." ma:contentTypeScope="" ma:versionID="2dfd5c1dc747af80fd57e63b2be0a592">
  <xsd:schema xmlns:xsd="http://www.w3.org/2001/XMLSchema" xmlns:xs="http://www.w3.org/2001/XMLSchema" xmlns:p="http://schemas.microsoft.com/office/2006/metadata/properties" xmlns:ns2="f5303054-b978-4bc1-a3f9-d9d7440e2fc1" xmlns:ns3="ae6446cd-5e34-4e14-99f6-6bef083ff652" targetNamespace="http://schemas.microsoft.com/office/2006/metadata/properties" ma:root="true" ma:fieldsID="90c7491927f52a219a8f034f20d1a758" ns2:_="" ns3:_="">
    <xsd:import namespace="f5303054-b978-4bc1-a3f9-d9d7440e2fc1"/>
    <xsd:import namespace="ae6446cd-5e34-4e14-99f6-6bef083ff652"/>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5303054-b978-4bc1-a3f9-d9d7440e2fc1" elementFormDefault="qualified">
    <xsd:import namespace="http://schemas.microsoft.com/office/2006/documentManagement/types"/>
    <xsd:import namespace="http://schemas.microsoft.com/office/infopath/2007/PartnerControls"/>
    <xsd:element name="SharedWithUsers" ma:index="8"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e6446cd-5e34-4e14-99f6-6bef083ff652"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99357FA-5349-4F96-959F-C43E7DD3FF05}">
  <ds:schemaRefs>
    <ds:schemaRef ds:uri="http://schemas.microsoft.com/sharepoint/v3/contenttype/forms"/>
  </ds:schemaRefs>
</ds:datastoreItem>
</file>

<file path=customXml/itemProps2.xml><?xml version="1.0" encoding="utf-8"?>
<ds:datastoreItem xmlns:ds="http://schemas.openxmlformats.org/officeDocument/2006/customXml" ds:itemID="{E317F27A-18EA-4208-9E13-64162D3F7CB9}">
  <ds:schemaRefs>
    <ds:schemaRef ds:uri="http://purl.org/dc/terms/"/>
    <ds:schemaRef ds:uri="http://purl.org/dc/dcmitype/"/>
    <ds:schemaRef ds:uri="ae6446cd-5e34-4e14-99f6-6bef083ff652"/>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f5303054-b978-4bc1-a3f9-d9d7440e2fc1"/>
    <ds:schemaRef ds:uri="http://www.w3.org/XML/1998/namespace"/>
  </ds:schemaRefs>
</ds:datastoreItem>
</file>

<file path=customXml/itemProps3.xml><?xml version="1.0" encoding="utf-8"?>
<ds:datastoreItem xmlns:ds="http://schemas.openxmlformats.org/officeDocument/2006/customXml" ds:itemID="{5FEECC0E-121C-4E88-A11D-86EE99B742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5303054-b978-4bc1-a3f9-d9d7440e2fc1"/>
    <ds:schemaRef ds:uri="ae6446cd-5e34-4e14-99f6-6bef083ff6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Total</vt:lpstr>
      <vt:lpstr>Empty</vt:lpstr>
      <vt:lpstr>120CT - BCSCU</vt:lpstr>
      <vt:lpstr>121COM - BCSCU</vt:lpstr>
      <vt:lpstr>122COM - BCSCU</vt:lpstr>
      <vt:lpstr>124MS - BCSCU</vt:lpstr>
      <vt:lpstr>210CT - BCSCU</vt:lpstr>
      <vt:lpstr>220CT - BCSCU</vt:lpstr>
      <vt:lpstr>260CT - BCSCU</vt:lpstr>
      <vt:lpstr>290COM - BCSCU</vt:lpstr>
      <vt:lpstr>A301SAM - BCSCU</vt:lpstr>
      <vt:lpstr>302CEM - BCSCU</vt:lpstr>
      <vt:lpstr>303COM - BCSCU</vt:lpstr>
      <vt:lpstr>A305IAE - BCSCU</vt:lpstr>
      <vt:lpstr>310CT - BCSCU</vt:lpstr>
      <vt:lpstr>370CT - BCSCU</vt:lpstr>
      <vt:lpstr>380CT - BCSCU</vt:lpstr>
      <vt:lpstr>389COM - BCSCU</vt:lpstr>
    </vt:vector>
  </TitlesOfParts>
  <Company>Coventry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Usha Jayahkudy</cp:lastModifiedBy>
  <cp:lastPrinted>2019-12-16T06:01:21Z</cp:lastPrinted>
  <dcterms:created xsi:type="dcterms:W3CDTF">2013-05-09T09:02:50Z</dcterms:created>
  <dcterms:modified xsi:type="dcterms:W3CDTF">2021-08-13T14:27:07Z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0x01010033C7B137C8D2BF4B9064B5BC8484256B</vt:lpwstr>
  </property>
</Properties>
</file>